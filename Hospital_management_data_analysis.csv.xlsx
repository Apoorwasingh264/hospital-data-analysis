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84307a5c1aaefead/Documents/Hospital-Data-Analysis-Project/"/>
    </mc:Choice>
  </mc:AlternateContent>
  <xr:revisionPtr revIDLastSave="434" documentId="8_{E804D538-29F3-4D63-A1DA-84E3A90CF733}" xr6:coauthVersionLast="47" xr6:coauthVersionMax="47" xr10:uidLastSave="{5030A82E-E175-42F4-8210-616AAE350917}"/>
  <bookViews>
    <workbookView xWindow="-108" yWindow="-108" windowWidth="23256" windowHeight="12456" firstSheet="2" activeTab="6" xr2:uid="{71D275F8-716E-434A-B7DF-8B1484956149}"/>
  </bookViews>
  <sheets>
    <sheet name="Hospital_management_data_for_pr" sheetId="1" r:id="rId1"/>
    <sheet name="Appointment_status" sheetId="2" r:id="rId2"/>
    <sheet name="Revenue by specialisation" sheetId="4" r:id="rId3"/>
    <sheet name="Doctor Workload" sheetId="5" r:id="rId4"/>
    <sheet name="Monthly appointments" sheetId="6" r:id="rId5"/>
    <sheet name="Payment Status" sheetId="7" r:id="rId6"/>
    <sheet name="Dashboard" sheetId="8" r:id="rId7"/>
  </sheets>
  <definedNames>
    <definedName name="Slicer_Month">#N/A</definedName>
    <definedName name="Slicer_payment_status">#N/A</definedName>
    <definedName name="Slicer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2"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alcChain>
</file>

<file path=xl/sharedStrings.xml><?xml version="1.0" encoding="utf-8"?>
<sst xmlns="http://schemas.openxmlformats.org/spreadsheetml/2006/main" count="1461" uniqueCount="296">
  <si>
    <t>appointment_id</t>
  </si>
  <si>
    <t>patient_name</t>
  </si>
  <si>
    <t>doctor_name</t>
  </si>
  <si>
    <t>specialization</t>
  </si>
  <si>
    <t>appointment_date</t>
  </si>
  <si>
    <t>appointment_time</t>
  </si>
  <si>
    <t>reason_for_visit</t>
  </si>
  <si>
    <t>status</t>
  </si>
  <si>
    <t>treatment_cost</t>
  </si>
  <si>
    <t>billed_amount</t>
  </si>
  <si>
    <t>payment_status</t>
  </si>
  <si>
    <t>A041</t>
  </si>
  <si>
    <t>David Wilson</t>
  </si>
  <si>
    <t>David Taylor</t>
  </si>
  <si>
    <t>Dermatology</t>
  </si>
  <si>
    <t>Emergency</t>
  </si>
  <si>
    <t>No-show</t>
  </si>
  <si>
    <t>Paid</t>
  </si>
  <si>
    <t>A162</t>
  </si>
  <si>
    <t>Jane Smith</t>
  </si>
  <si>
    <t>David Jones</t>
  </si>
  <si>
    <t>Pediatrics</t>
  </si>
  <si>
    <t>A056</t>
  </si>
  <si>
    <t>David Moore</t>
  </si>
  <si>
    <t>Checkup</t>
  </si>
  <si>
    <t>Scheduled</t>
  </si>
  <si>
    <t>A155</t>
  </si>
  <si>
    <t>Robert Wilson</t>
  </si>
  <si>
    <t>Consultation</t>
  </si>
  <si>
    <t>Cancelled</t>
  </si>
  <si>
    <t>Failed</t>
  </si>
  <si>
    <t>A146</t>
  </si>
  <si>
    <t>Alex Moore</t>
  </si>
  <si>
    <t>Alex Davis</t>
  </si>
  <si>
    <t>Pending</t>
  </si>
  <si>
    <t>A081</t>
  </si>
  <si>
    <t>Michael Taylor</t>
  </si>
  <si>
    <t>Robert Davis</t>
  </si>
  <si>
    <t>Oncology</t>
  </si>
  <si>
    <t>Therapy</t>
  </si>
  <si>
    <t>A180</t>
  </si>
  <si>
    <t>Alex Johnson</t>
  </si>
  <si>
    <t>Linda Brown</t>
  </si>
  <si>
    <t>A036</t>
  </si>
  <si>
    <t>Michael Wilson</t>
  </si>
  <si>
    <t>A112</t>
  </si>
  <si>
    <t>Emily Miller</t>
  </si>
  <si>
    <t>Linda Wilson</t>
  </si>
  <si>
    <t>Follow-up</t>
  </si>
  <si>
    <t>A166</t>
  </si>
  <si>
    <t>A010</t>
  </si>
  <si>
    <t>Completed</t>
  </si>
  <si>
    <t>A061</t>
  </si>
  <si>
    <t>Sarah Brown</t>
  </si>
  <si>
    <t>Sarah Taylor</t>
  </si>
  <si>
    <t>A015</t>
  </si>
  <si>
    <t>John Taylor</t>
  </si>
  <si>
    <t>A048</t>
  </si>
  <si>
    <t>David Williams</t>
  </si>
  <si>
    <t>Sarah Smith</t>
  </si>
  <si>
    <t>A178</t>
  </si>
  <si>
    <t>Jane Jones</t>
  </si>
  <si>
    <t>A082</t>
  </si>
  <si>
    <t>Emily Smith</t>
  </si>
  <si>
    <t>A103</t>
  </si>
  <si>
    <t>A071</t>
  </si>
  <si>
    <t>A151</t>
  </si>
  <si>
    <t>Jane Davis</t>
  </si>
  <si>
    <t>A092</t>
  </si>
  <si>
    <t>A183</t>
  </si>
  <si>
    <t>Emily Williams</t>
  </si>
  <si>
    <t>A051</t>
  </si>
  <si>
    <t>Michael Johnson</t>
  </si>
  <si>
    <t>A140</t>
  </si>
  <si>
    <t>Laura Davis</t>
  </si>
  <si>
    <t>A019</t>
  </si>
  <si>
    <t>David Smith</t>
  </si>
  <si>
    <t>A053</t>
  </si>
  <si>
    <t>A187</t>
  </si>
  <si>
    <t>Linda Moore</t>
  </si>
  <si>
    <t>A089</t>
  </si>
  <si>
    <t>A085</t>
  </si>
  <si>
    <t>Linda Johnson</t>
  </si>
  <si>
    <t>A125</t>
  </si>
  <si>
    <t>A038</t>
  </si>
  <si>
    <t>Robert Williams</t>
  </si>
  <si>
    <t>A130</t>
  </si>
  <si>
    <t>A025</t>
  </si>
  <si>
    <t>Emily Moore</t>
  </si>
  <si>
    <t>A184</t>
  </si>
  <si>
    <t>A123</t>
  </si>
  <si>
    <t>A100</t>
  </si>
  <si>
    <t>A170</t>
  </si>
  <si>
    <t>A009</t>
  </si>
  <si>
    <t>Jane Wilson</t>
  </si>
  <si>
    <t>A154</t>
  </si>
  <si>
    <t>A179</t>
  </si>
  <si>
    <t>A059</t>
  </si>
  <si>
    <t>A172</t>
  </si>
  <si>
    <t>Laura Wilson</t>
  </si>
  <si>
    <t>A068</t>
  </si>
  <si>
    <t>A124</t>
  </si>
  <si>
    <t>Laura Johnson</t>
  </si>
  <si>
    <t>A026</t>
  </si>
  <si>
    <t>A098</t>
  </si>
  <si>
    <t>Linda Miller</t>
  </si>
  <si>
    <t>A185</t>
  </si>
  <si>
    <t>A042</t>
  </si>
  <si>
    <t>A133</t>
  </si>
  <si>
    <t>A040</t>
  </si>
  <si>
    <t>A186</t>
  </si>
  <si>
    <t>A037</t>
  </si>
  <si>
    <t>A043</t>
  </si>
  <si>
    <t>Alex Smith</t>
  </si>
  <si>
    <t>A069</t>
  </si>
  <si>
    <t>A197</t>
  </si>
  <si>
    <t>A031</t>
  </si>
  <si>
    <t>A165</t>
  </si>
  <si>
    <t>Robert Miller</t>
  </si>
  <si>
    <t>A194</t>
  </si>
  <si>
    <t>David Davis</t>
  </si>
  <si>
    <t>A121</t>
  </si>
  <si>
    <t>A159</t>
  </si>
  <si>
    <t>A094</t>
  </si>
  <si>
    <t>A007</t>
  </si>
  <si>
    <t>A093</t>
  </si>
  <si>
    <t>A188</t>
  </si>
  <si>
    <t>A182</t>
  </si>
  <si>
    <t>A191</t>
  </si>
  <si>
    <t>A152</t>
  </si>
  <si>
    <t>A128</t>
  </si>
  <si>
    <t>A057</t>
  </si>
  <si>
    <t>A107</t>
  </si>
  <si>
    <t>A039</t>
  </si>
  <si>
    <t>A035</t>
  </si>
  <si>
    <t>A104</t>
  </si>
  <si>
    <t>A171</t>
  </si>
  <si>
    <t>Emily Jones</t>
  </si>
  <si>
    <t>A108</t>
  </si>
  <si>
    <t>A065</t>
  </si>
  <si>
    <t>A021</t>
  </si>
  <si>
    <t>A176</t>
  </si>
  <si>
    <t>A049</t>
  </si>
  <si>
    <t>A199</t>
  </si>
  <si>
    <t>A088</t>
  </si>
  <si>
    <t>A047</t>
  </si>
  <si>
    <t>A097</t>
  </si>
  <si>
    <t>A012</t>
  </si>
  <si>
    <t>A075</t>
  </si>
  <si>
    <t>A095</t>
  </si>
  <si>
    <t>A023</t>
  </si>
  <si>
    <t>Jane Moore</t>
  </si>
  <si>
    <t>A058</t>
  </si>
  <si>
    <t>A066</t>
  </si>
  <si>
    <t>A131</t>
  </si>
  <si>
    <t>A157</t>
  </si>
  <si>
    <t>A136</t>
  </si>
  <si>
    <t>A198</t>
  </si>
  <si>
    <t>John Brown</t>
  </si>
  <si>
    <t>A111</t>
  </si>
  <si>
    <t>A008</t>
  </si>
  <si>
    <t>A014</t>
  </si>
  <si>
    <t>A084</t>
  </si>
  <si>
    <t>A064</t>
  </si>
  <si>
    <t>A090</t>
  </si>
  <si>
    <t>A173</t>
  </si>
  <si>
    <t>A002</t>
  </si>
  <si>
    <t>A091</t>
  </si>
  <si>
    <t>A072</t>
  </si>
  <si>
    <t>A034</t>
  </si>
  <si>
    <t>A062</t>
  </si>
  <si>
    <t>A141</t>
  </si>
  <si>
    <t>A161</t>
  </si>
  <si>
    <t>A006</t>
  </si>
  <si>
    <t>A117</t>
  </si>
  <si>
    <t>A024</t>
  </si>
  <si>
    <t>A029</t>
  </si>
  <si>
    <t>A080</t>
  </si>
  <si>
    <t>A163</t>
  </si>
  <si>
    <t>A003</t>
  </si>
  <si>
    <t>A063</t>
  </si>
  <si>
    <t>A016</t>
  </si>
  <si>
    <t>A099</t>
  </si>
  <si>
    <t>A005</t>
  </si>
  <si>
    <t>A116</t>
  </si>
  <si>
    <t>A096</t>
  </si>
  <si>
    <t>A153</t>
  </si>
  <si>
    <t>A122</t>
  </si>
  <si>
    <t>A017</t>
  </si>
  <si>
    <t>A158</t>
  </si>
  <si>
    <t>A052</t>
  </si>
  <si>
    <t>A110</t>
  </si>
  <si>
    <t>A074</t>
  </si>
  <si>
    <t>A169</t>
  </si>
  <si>
    <t>A132</t>
  </si>
  <si>
    <t>A149</t>
  </si>
  <si>
    <t>Sarah Miller</t>
  </si>
  <si>
    <t>A164</t>
  </si>
  <si>
    <t>Alex Taylor</t>
  </si>
  <si>
    <t>A109</t>
  </si>
  <si>
    <t>A114</t>
  </si>
  <si>
    <t>A118</t>
  </si>
  <si>
    <t>A001</t>
  </si>
  <si>
    <t>A067</t>
  </si>
  <si>
    <t>A105</t>
  </si>
  <si>
    <t>A050</t>
  </si>
  <si>
    <t>A144</t>
  </si>
  <si>
    <t>A150</t>
  </si>
  <si>
    <t>A177</t>
  </si>
  <si>
    <t>Robert Taylor</t>
  </si>
  <si>
    <t>A013</t>
  </si>
  <si>
    <t>Laura Jones</t>
  </si>
  <si>
    <t>A195</t>
  </si>
  <si>
    <t>A129</t>
  </si>
  <si>
    <t>A070</t>
  </si>
  <si>
    <t>A030</t>
  </si>
  <si>
    <t>A192</t>
  </si>
  <si>
    <t>A004</t>
  </si>
  <si>
    <t>A181</t>
  </si>
  <si>
    <t>A135</t>
  </si>
  <si>
    <t>A193</t>
  </si>
  <si>
    <t>A078</t>
  </si>
  <si>
    <t>A044</t>
  </si>
  <si>
    <t>A101</t>
  </si>
  <si>
    <t>A143</t>
  </si>
  <si>
    <t>A033</t>
  </si>
  <si>
    <t>A045</t>
  </si>
  <si>
    <t>A168</t>
  </si>
  <si>
    <t>A189</t>
  </si>
  <si>
    <t>A055</t>
  </si>
  <si>
    <t>A139</t>
  </si>
  <si>
    <t>A134</t>
  </si>
  <si>
    <t>A087</t>
  </si>
  <si>
    <t>A175</t>
  </si>
  <si>
    <t>A137</t>
  </si>
  <si>
    <t>A102</t>
  </si>
  <si>
    <t>A115</t>
  </si>
  <si>
    <t>A196</t>
  </si>
  <si>
    <t>A106</t>
  </si>
  <si>
    <t>A086</t>
  </si>
  <si>
    <t>A028</t>
  </si>
  <si>
    <t>A174</t>
  </si>
  <si>
    <t>A142</t>
  </si>
  <si>
    <t>A126</t>
  </si>
  <si>
    <t>A032</t>
  </si>
  <si>
    <t>A083</t>
  </si>
  <si>
    <t>A145</t>
  </si>
  <si>
    <t>A011</t>
  </si>
  <si>
    <t>A147</t>
  </si>
  <si>
    <t>A127</t>
  </si>
  <si>
    <t>A022</t>
  </si>
  <si>
    <t>A027</t>
  </si>
  <si>
    <t>A018</t>
  </si>
  <si>
    <t>A167</t>
  </si>
  <si>
    <t>A190</t>
  </si>
  <si>
    <t>A060</t>
  </si>
  <si>
    <t>A156</t>
  </si>
  <si>
    <t>A113</t>
  </si>
  <si>
    <t>A076</t>
  </si>
  <si>
    <t>A020</t>
  </si>
  <si>
    <t>A148</t>
  </si>
  <si>
    <t>A120</t>
  </si>
  <si>
    <t>A077</t>
  </si>
  <si>
    <t>A054</t>
  </si>
  <si>
    <t>A160</t>
  </si>
  <si>
    <t>A119</t>
  </si>
  <si>
    <t>A046</t>
  </si>
  <si>
    <t>A073</t>
  </si>
  <si>
    <t>A079</t>
  </si>
  <si>
    <t>A138</t>
  </si>
  <si>
    <t>A200</t>
  </si>
  <si>
    <t>Grand Total</t>
  </si>
  <si>
    <t>Appointment</t>
  </si>
  <si>
    <t>Status of Appointment</t>
  </si>
  <si>
    <t>Specialisation</t>
  </si>
  <si>
    <t>Revenue</t>
  </si>
  <si>
    <t>Doctor</t>
  </si>
  <si>
    <t>Patient visit</t>
  </si>
  <si>
    <t>Month</t>
  </si>
  <si>
    <t>January</t>
  </si>
  <si>
    <t>February</t>
  </si>
  <si>
    <t>March</t>
  </si>
  <si>
    <t>April</t>
  </si>
  <si>
    <t>May</t>
  </si>
  <si>
    <t>June</t>
  </si>
  <si>
    <t>July</t>
  </si>
  <si>
    <t>August</t>
  </si>
  <si>
    <t>September</t>
  </si>
  <si>
    <t>October</t>
  </si>
  <si>
    <t>November</t>
  </si>
  <si>
    <t>December</t>
  </si>
  <si>
    <t>Number of Appointments</t>
  </si>
  <si>
    <t>Status</t>
  </si>
  <si>
    <t>Number of Payments</t>
  </si>
  <si>
    <t>HOSPITAL DATA ANALYSIS DASHBOARD</t>
  </si>
  <si>
    <t>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</si>
</sst>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26"/>
      <color theme="1"/>
      <name val="Bahnschrift Light"/>
      <family val="2"/>
    </font>
    <font>
      <b/>
      <sz val="28"/>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21" fontId="0" fillId="0" borderId="0" xfId="0" applyNumberFormat="1"/>
    <xf numFmtId="0" fontId="18" fillId="0" borderId="0" xfId="0" applyFont="1"/>
    <xf numFmtId="0" fontId="0" fillId="0" borderId="0" xfId="0" pivotButton="1"/>
    <xf numFmtId="0" fontId="0" fillId="0" borderId="0" xfId="0" applyAlignment="1">
      <alignment horizontal="left"/>
    </xf>
    <xf numFmtId="164" fontId="0" fillId="0" borderId="0" xfId="0" applyNumberFormat="1"/>
    <xf numFmtId="0" fontId="0" fillId="33" borderId="0" xfId="0" applyFill="1" applyAlignment="1">
      <alignment horizontal="center"/>
    </xf>
    <xf numFmtId="0" fontId="19" fillId="33" borderId="0" xfId="0" applyFont="1" applyFill="1" applyAlignment="1">
      <alignment horizontal="center"/>
    </xf>
    <xf numFmtId="0" fontId="0" fillId="34" borderId="0" xfId="0" applyFill="1"/>
    <xf numFmtId="0" fontId="0" fillId="35" borderId="0" xfId="0" applyFill="1" applyAlignment="1">
      <alignment horizontal="center"/>
    </xf>
    <xf numFmtId="0" fontId="20"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26" formatCode="hh:mm:ss"/>
    </dxf>
    <dxf>
      <numFmt numFmtId="164" formatCode="[$-F800]dddd\,\ mmmm\ dd\,\ yyyy"/>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[Hospital_management_data_analysis.csv.xlsx]Appointment_status!PivotTable2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Appointment_status!$B$3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0B5-4A32-9594-871307CE332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0B5-4A32-9594-871307CE332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0B5-4A32-9594-871307CE332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0B5-4A32-9594-871307CE33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Appointment_status!$A$4:$A$8</c:f>
              <c:strCache>
                <c:ptCount val="4"/>
                <c:pt idx="0">
                  <c:v>Cancelled</c:v>
                </c:pt>
                <c:pt idx="1">
                  <c:v>Completed</c:v>
                </c:pt>
                <c:pt idx="2">
                  <c:v>No-show</c:v>
                </c:pt>
                <c:pt idx="3">
                  <c:v>Scheduled</c:v>
                </c:pt>
              </c:strCache>
            </c:strRef>
          </c:cat>
          <c:val>
            <c:numRef>
              <c:f>Appointment_status!$B$4:$B$8</c:f>
              <c:numCache>
                <c:formatCode>General</c:formatCode>
                <c:ptCount val="4"/>
                <c:pt idx="0">
                  <c:v>51</c:v>
                </c:pt>
                <c:pt idx="1">
                  <c:v>46</c:v>
                </c:pt>
                <c:pt idx="2">
                  <c:v>52</c:v>
                </c:pt>
                <c:pt idx="3">
                  <c:v>51</c:v>
                </c:pt>
              </c:numCache>
            </c:numRef>
          </c:val>
          <c:extLst>
            <c:ext xmlns:c16="http://schemas.microsoft.com/office/drawing/2014/chart" uri="{C3380CC4-5D6E-409C-BE32-E72D297353CC}">
              <c16:uniqueId val="{00000000-1E3C-4E85-B0B1-C70A2FDDB1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[Hospital_management_data_analysis.csv.xlsx]Revenue by specialisation!PivotTable3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specialisation'!$B$3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'Revenue by specialisation'!$A$4:$A$7</c:f>
              <c:strCache>
                <c:ptCount val="3"/>
                <c:pt idx="0">
                  <c:v>Dermatology</c:v>
                </c:pt>
                <c:pt idx="1">
                  <c:v>Oncology</c:v>
                </c:pt>
                <c:pt idx="2">
                  <c:v>Pediatrics</c:v>
                </c:pt>
              </c:strCache>
            </c:strRef>
          </c:cat>
          <c:val>
            <c:numRef>
              <c:f>'Revenue by specialisation'!$B$4:$B$7</c:f>
              <c:numCache>
                <c:formatCode>General</c:formatCode>
                <c:ptCount val="3"/>
                <c:pt idx="0">
                  <c:v>202709.28999999992</c:v>
                </c:pt>
                <c:pt idx="1">
                  <c:v>89602.73</c:v>
                </c:pt>
                <c:pt idx="2">
                  <c:v>258937.82999999987</c:v>
                </c:pt>
              </c:numCache>
            </c:numRef>
          </c:val>
          <c:extLst>
            <c:ext xmlns:c16="http://schemas.microsoft.com/office/drawing/2014/chart" uri="{C3380CC4-5D6E-409C-BE32-E72D297353CC}">
              <c16:uniqueId val="{00000000-E82C-4FE7-89A3-278C2974AD1F}"/>
            </c:ext>
          </c:extLst>
        </c:ser>
        <c:dLbls>
          <c:dLblPos val="inEnd"/>
          <c:showLegendKey val="0"/>
          <c:showVal val="1"/>
          <c:showCatName val="0"/>
          <c:showSerName val="0"/>
          <c:showPercent val="0"/>
          <c:showBubbleSize val="0"/>
        </c:dLbls>
        <c:gapWidth val="65"/>
        <c:axId val="1101509951"/>
        <c:axId val="1101510431"/>
      </c:barChart>
      <c:catAx>
        <c:axId val="11015099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01510431"/>
        <c:crosses val="autoZero"/>
        <c:auto val="1"/>
        <c:lblAlgn val="ctr"/>
        <c:lblOffset val="100"/>
        <c:noMultiLvlLbl val="0"/>
      </c:catAx>
      <c:valAx>
        <c:axId val="110151043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015099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[Hospital_management_data_analysis.csv.xlsx]Doctor Workload!PivotTable5</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'Doctor Workload'!$B$2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'Doctor Workload'!$A$3:$A$13</c:f>
              <c:strCache>
                <c:ptCount val="10"/>
                <c:pt idx="0">
                  <c:v>Alex Davis</c:v>
                </c:pt>
                <c:pt idx="1">
                  <c:v>David Jones</c:v>
                </c:pt>
                <c:pt idx="2">
                  <c:v>David Taylor</c:v>
                </c:pt>
                <c:pt idx="3">
                  <c:v>Jane Davis</c:v>
                </c:pt>
                <c:pt idx="4">
                  <c:v>Jane Smith</c:v>
                </c:pt>
                <c:pt idx="5">
                  <c:v>Linda Brown</c:v>
                </c:pt>
                <c:pt idx="6">
                  <c:v>Linda Wilson</c:v>
                </c:pt>
                <c:pt idx="7">
                  <c:v>Robert Davis</c:v>
                </c:pt>
                <c:pt idx="8">
                  <c:v>Sarah Smith</c:v>
                </c:pt>
                <c:pt idx="9">
                  <c:v>Sarah Taylor</c:v>
                </c:pt>
              </c:strCache>
            </c:strRef>
          </c:cat>
          <c:val>
            <c:numRef>
              <c:f>'Doctor Workload'!$B$3:$B$13</c:f>
              <c:numCache>
                <c:formatCode>General</c:formatCode>
                <c:ptCount val="10"/>
                <c:pt idx="0">
                  <c:v>24</c:v>
                </c:pt>
                <c:pt idx="1">
                  <c:v>14</c:v>
                </c:pt>
                <c:pt idx="2">
                  <c:v>25</c:v>
                </c:pt>
                <c:pt idx="3">
                  <c:v>21</c:v>
                </c:pt>
                <c:pt idx="4">
                  <c:v>22</c:v>
                </c:pt>
                <c:pt idx="5">
                  <c:v>16</c:v>
                </c:pt>
                <c:pt idx="6">
                  <c:v>19</c:v>
                </c:pt>
                <c:pt idx="7">
                  <c:v>13</c:v>
                </c:pt>
                <c:pt idx="8">
                  <c:v>17</c:v>
                </c:pt>
                <c:pt idx="9">
                  <c:v>29</c:v>
                </c:pt>
              </c:numCache>
            </c:numRef>
          </c:val>
          <c:extLst>
            <c:ext xmlns:c16="http://schemas.microsoft.com/office/drawing/2014/chart" uri="{C3380CC4-5D6E-409C-BE32-E72D297353CC}">
              <c16:uniqueId val="{00000000-B6EB-46FB-A2B8-96F7FEC397D1}"/>
            </c:ext>
          </c:extLst>
        </c:ser>
        <c:dLbls>
          <c:dLblPos val="outEnd"/>
          <c:showLegendKey val="0"/>
          <c:showVal val="1"/>
          <c:showCatName val="0"/>
          <c:showSerName val="0"/>
          <c:showPercent val="0"/>
          <c:showBubbleSize val="0"/>
        </c:dLbls>
        <c:gapWidth val="100"/>
        <c:overlap val="-24"/>
        <c:axId val="1474700607"/>
        <c:axId val="1474700127"/>
      </c:barChart>
      <c:catAx>
        <c:axId val="14747006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4700127"/>
        <c:crosses val="autoZero"/>
        <c:auto val="1"/>
        <c:lblAlgn val="ctr"/>
        <c:lblOffset val="100"/>
        <c:noMultiLvlLbl val="0"/>
      </c:catAx>
      <c:valAx>
        <c:axId val="14747001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470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[Hospital_management_data_analysis.csv.xlsx]Monthly appointments!PivotTable6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appointments'!$B$2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'Monthly appointments'!$A$3:$A$15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appointments'!$B$3:$B$15</c:f>
              <c:numCache>
                <c:formatCode>General</c:formatCode>
                <c:ptCount val="12"/>
                <c:pt idx="0">
                  <c:v>20</c:v>
                </c:pt>
                <c:pt idx="1">
                  <c:v>14</c:v>
                </c:pt>
                <c:pt idx="2">
                  <c:v>19</c:v>
                </c:pt>
                <c:pt idx="3">
                  <c:v>25</c:v>
                </c:pt>
                <c:pt idx="4">
                  <c:v>19</c:v>
                </c:pt>
                <c:pt idx="5">
                  <c:v>18</c:v>
                </c:pt>
                <c:pt idx="6">
                  <c:v>16</c:v>
                </c:pt>
                <c:pt idx="7">
                  <c:v>15</c:v>
                </c:pt>
                <c:pt idx="8">
                  <c:v>11</c:v>
                </c:pt>
                <c:pt idx="9">
                  <c:v>14</c:v>
                </c:pt>
                <c:pt idx="10">
                  <c:v>17</c:v>
                </c:pt>
                <c:pt idx="11">
                  <c:v>12</c:v>
                </c:pt>
              </c:numCache>
            </c:numRef>
          </c:val>
          <c:smooth val="0"/>
          <c:extLst>
            <c:ext xmlns:c16="http://schemas.microsoft.com/office/drawing/2014/chart" uri="{C3380CC4-5D6E-409C-BE32-E72D297353CC}">
              <c16:uniqueId val="{00000000-329C-4F9F-A34C-6DF54B97853A}"/>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74682847"/>
        <c:axId val="1474683327"/>
      </c:lineChart>
      <c:catAx>
        <c:axId val="14746828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74683327"/>
        <c:crosses val="autoZero"/>
        <c:auto val="1"/>
        <c:lblAlgn val="ctr"/>
        <c:lblOffset val="100"/>
        <c:noMultiLvlLbl val="0"/>
      </c:catAx>
      <c:valAx>
        <c:axId val="1474683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7468284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[Hospital_management_data_analysis.csv.xlsx]Payment Status!PivotTable7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'Payment Status'!$B$2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7E3-4841-82E7-1A12A57F9A7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7E3-4841-82E7-1A12A57F9A7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7E3-4841-82E7-1A12A57F9A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Status'!$A$3:$A$6</c:f>
              <c:strCache>
                <c:ptCount val="3"/>
                <c:pt idx="0">
                  <c:v>Failed</c:v>
                </c:pt>
                <c:pt idx="1">
                  <c:v>Paid</c:v>
                </c:pt>
                <c:pt idx="2">
                  <c:v>Pending</c:v>
                </c:pt>
              </c:strCache>
            </c:strRef>
          </c:cat>
          <c:val>
            <c:numRef>
              <c:f>'Payment Status'!$B$3:$B$6</c:f>
              <c:numCache>
                <c:formatCode>General</c:formatCode>
                <c:ptCount val="3"/>
                <c:pt idx="0">
                  <c:v>67</c:v>
                </c:pt>
                <c:pt idx="1">
                  <c:v>64</c:v>
                </c:pt>
                <c:pt idx="2">
                  <c:v>69</c:v>
                </c:pt>
              </c:numCache>
            </c:numRef>
          </c:val>
          <c:extLst>
            <c:ext xmlns:c16="http://schemas.microsoft.com/office/drawing/2014/chart" uri="{C3380CC4-5D6E-409C-BE32-E72D297353CC}">
              <c16:uniqueId val="{00000000-9787-4D75-A691-0B1AB80E6B7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[Hospital_management_data_analysis.csv.xlsx]Payment Status!PivotTable7</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'Payment Status'!$B$2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6B3-4DA0-8357-76C4B706D4E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6B3-4DA0-8357-76C4B706D4E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6B3-4DA0-8357-76C4B706D4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Status'!$A$3:$A$6</c:f>
              <c:strCache>
                <c:ptCount val="3"/>
                <c:pt idx="0">
                  <c:v>Failed</c:v>
                </c:pt>
                <c:pt idx="1">
                  <c:v>Paid</c:v>
                </c:pt>
                <c:pt idx="2">
                  <c:v>Pending</c:v>
                </c:pt>
              </c:strCache>
            </c:strRef>
          </c:cat>
          <c:val>
            <c:numRef>
              <c:f>'Payment Status'!$B$3:$B$6</c:f>
              <c:numCache>
                <c:formatCode>General</c:formatCode>
                <c:ptCount val="3"/>
                <c:pt idx="0">
                  <c:v>67</c:v>
                </c:pt>
                <c:pt idx="1">
                  <c:v>64</c:v>
                </c:pt>
                <c:pt idx="2">
                  <c:v>69</c:v>
                </c:pt>
              </c:numCache>
            </c:numRef>
          </c:val>
          <c:extLst>
            <c:ext xmlns:c16="http://schemas.microsoft.com/office/drawing/2014/chart" uri="{C3380CC4-5D6E-409C-BE32-E72D297353CC}">
              <c16:uniqueId val="{00000006-06B3-4DA0-8357-76C4B706D4E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[Hospital_management_data_analysis.csv.xlsx]Monthly appointments!PivotTable6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appointments'!$B$2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'Monthly appointments'!$A$3:$A$15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appointments'!$B$3:$B$15</c:f>
              <c:numCache>
                <c:formatCode>General</c:formatCode>
                <c:ptCount val="12"/>
                <c:pt idx="0">
                  <c:v>20</c:v>
                </c:pt>
                <c:pt idx="1">
                  <c:v>14</c:v>
                </c:pt>
                <c:pt idx="2">
                  <c:v>19</c:v>
                </c:pt>
                <c:pt idx="3">
                  <c:v>25</c:v>
                </c:pt>
                <c:pt idx="4">
                  <c:v>19</c:v>
                </c:pt>
                <c:pt idx="5">
                  <c:v>18</c:v>
                </c:pt>
                <c:pt idx="6">
                  <c:v>16</c:v>
                </c:pt>
                <c:pt idx="7">
                  <c:v>15</c:v>
                </c:pt>
                <c:pt idx="8">
                  <c:v>11</c:v>
                </c:pt>
                <c:pt idx="9">
                  <c:v>14</c:v>
                </c:pt>
                <c:pt idx="10">
                  <c:v>17</c:v>
                </c:pt>
                <c:pt idx="11">
                  <c:v>12</c:v>
                </c:pt>
              </c:numCache>
            </c:numRef>
          </c:val>
          <c:smooth val="0"/>
          <c:extLst>
            <c:ext xmlns:c16="http://schemas.microsoft.com/office/drawing/2014/chart" uri="{C3380CC4-5D6E-409C-BE32-E72D297353CC}">
              <c16:uniqueId val="{00000000-E8D7-4444-94A2-5F2FE60220E7}"/>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74682847"/>
        <c:axId val="1474683327"/>
      </c:lineChart>
      <c:catAx>
        <c:axId val="14746828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74683327"/>
        <c:crosses val="autoZero"/>
        <c:auto val="1"/>
        <c:lblAlgn val="ctr"/>
        <c:lblOffset val="100"/>
        <c:noMultiLvlLbl val="0"/>
      </c:catAx>
      <c:valAx>
        <c:axId val="1474683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7468284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[Hospital_management_data_analysis.csv.xlsx]Doctor Workload!PivotTable5</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'Doctor Workload'!$B$2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'Doctor Workload'!$A$3:$A$13</c:f>
              <c:strCache>
                <c:ptCount val="10"/>
                <c:pt idx="0">
                  <c:v>Alex Davis</c:v>
                </c:pt>
                <c:pt idx="1">
                  <c:v>David Jones</c:v>
                </c:pt>
                <c:pt idx="2">
                  <c:v>David Taylor</c:v>
                </c:pt>
                <c:pt idx="3">
                  <c:v>Jane Davis</c:v>
                </c:pt>
                <c:pt idx="4">
                  <c:v>Jane Smith</c:v>
                </c:pt>
                <c:pt idx="5">
                  <c:v>Linda Brown</c:v>
                </c:pt>
                <c:pt idx="6">
                  <c:v>Linda Wilson</c:v>
                </c:pt>
                <c:pt idx="7">
                  <c:v>Robert Davis</c:v>
                </c:pt>
                <c:pt idx="8">
                  <c:v>Sarah Smith</c:v>
                </c:pt>
                <c:pt idx="9">
                  <c:v>Sarah Taylor</c:v>
                </c:pt>
              </c:strCache>
            </c:strRef>
          </c:cat>
          <c:val>
            <c:numRef>
              <c:f>'Doctor Workload'!$B$3:$B$13</c:f>
              <c:numCache>
                <c:formatCode>General</c:formatCode>
                <c:ptCount val="10"/>
                <c:pt idx="0">
                  <c:v>24</c:v>
                </c:pt>
                <c:pt idx="1">
                  <c:v>14</c:v>
                </c:pt>
                <c:pt idx="2">
                  <c:v>25</c:v>
                </c:pt>
                <c:pt idx="3">
                  <c:v>21</c:v>
                </c:pt>
                <c:pt idx="4">
                  <c:v>22</c:v>
                </c:pt>
                <c:pt idx="5">
                  <c:v>16</c:v>
                </c:pt>
                <c:pt idx="6">
                  <c:v>19</c:v>
                </c:pt>
                <c:pt idx="7">
                  <c:v>13</c:v>
                </c:pt>
                <c:pt idx="8">
                  <c:v>17</c:v>
                </c:pt>
                <c:pt idx="9">
                  <c:v>29</c:v>
                </c:pt>
              </c:numCache>
            </c:numRef>
          </c:val>
          <c:extLst>
            <c:ext xmlns:c16="http://schemas.microsoft.com/office/drawing/2014/chart" uri="{C3380CC4-5D6E-409C-BE32-E72D297353CC}">
              <c16:uniqueId val="{00000000-C104-47CF-A5FB-08B0F783C946}"/>
            </c:ext>
          </c:extLst>
        </c:ser>
        <c:dLbls>
          <c:dLblPos val="outEnd"/>
          <c:showLegendKey val="0"/>
          <c:showVal val="1"/>
          <c:showCatName val="0"/>
          <c:showSerName val="0"/>
          <c:showPercent val="0"/>
          <c:showBubbleSize val="0"/>
        </c:dLbls>
        <c:gapWidth val="100"/>
        <c:overlap val="-24"/>
        <c:axId val="1474700607"/>
        <c:axId val="1474700127"/>
      </c:barChart>
      <c:catAx>
        <c:axId val="14747006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4700127"/>
        <c:crosses val="autoZero"/>
        <c:auto val="1"/>
        <c:lblAlgn val="ctr"/>
        <c:lblOffset val="100"/>
        <c:noMultiLvlLbl val="0"/>
      </c:catAx>
      <c:valAx>
        <c:axId val="14747001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470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[Hospital_management_data_analysis.csv.xlsx]Revenue by specialisation!PivotTable3</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specialisation'!$B$3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'Revenue by specialisation'!$A$4:$A$7</c:f>
              <c:strCache>
                <c:ptCount val="3"/>
                <c:pt idx="0">
                  <c:v>Dermatology</c:v>
                </c:pt>
                <c:pt idx="1">
                  <c:v>Oncology</c:v>
                </c:pt>
                <c:pt idx="2">
                  <c:v>Pediatrics</c:v>
                </c:pt>
              </c:strCache>
            </c:strRef>
          </c:cat>
          <c:val>
            <c:numRef>
              <c:f>'Revenue by specialisation'!$B$4:$B$7</c:f>
              <c:numCache>
                <c:formatCode>General</c:formatCode>
                <c:ptCount val="3"/>
                <c:pt idx="0">
                  <c:v>202709.28999999992</c:v>
                </c:pt>
                <c:pt idx="1">
                  <c:v>89602.73</c:v>
                </c:pt>
                <c:pt idx="2">
                  <c:v>258937.82999999987</c:v>
                </c:pt>
              </c:numCache>
            </c:numRef>
          </c:val>
          <c:extLst>
            <c:ext xmlns:c16="http://schemas.microsoft.com/office/drawing/2014/chart" uri="{C3380CC4-5D6E-409C-BE32-E72D297353CC}">
              <c16:uniqueId val="{00000000-E20D-4F15-B84C-140889586CF2}"/>
            </c:ext>
          </c:extLst>
        </c:ser>
        <c:dLbls>
          <c:dLblPos val="inEnd"/>
          <c:showLegendKey val="0"/>
          <c:showVal val="1"/>
          <c:showCatName val="0"/>
          <c:showSerName val="0"/>
          <c:showPercent val="0"/>
          <c:showBubbleSize val="0"/>
        </c:dLbls>
        <c:gapWidth val="65"/>
        <c:axId val="1101509951"/>
        <c:axId val="1101510431"/>
      </c:barChart>
      <c:catAx>
        <c:axId val="11015099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01510431"/>
        <c:crosses val="autoZero"/>
        <c:auto val="1"/>
        <c:lblAlgn val="ctr"/>
        <c:lblOffset val="100"/>
        <c:noMultiLvlLbl val="0"/>
      </c:catAx>
      <c:valAx>
        <c:axId val="110151043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015099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[Hospital_management_data_analysis.csv.xlsx]Appointment_status!PivotTable2</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Appointment_status!$B$3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9F6-4D14-8BB9-06490D8F9F4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9F6-4D14-8BB9-06490D8F9F4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9F6-4D14-8BB9-06490D8F9F4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9F6-4D14-8BB9-06490D8F9F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Appointment_status!$A$4:$A$8</c:f>
              <c:strCache>
                <c:ptCount val="4"/>
                <c:pt idx="0">
                  <c:v>Cancelled</c:v>
                </c:pt>
                <c:pt idx="1">
                  <c:v>Completed</c:v>
                </c:pt>
                <c:pt idx="2">
                  <c:v>No-show</c:v>
                </c:pt>
                <c:pt idx="3">
                  <c:v>Scheduled</c:v>
                </c:pt>
              </c:strCache>
            </c:strRef>
          </c:cat>
          <c:val>
            <c:numRef>
              <c:f>Appointment_status!$B$4:$B$8</c:f>
              <c:numCache>
                <c:formatCode>General</c:formatCode>
                <c:ptCount val="4"/>
                <c:pt idx="0">
                  <c:v>51</c:v>
                </c:pt>
                <c:pt idx="1">
                  <c:v>46</c:v>
                </c:pt>
                <c:pt idx="2">
                  <c:v>52</c:v>
                </c:pt>
                <c:pt idx="3">
                  <c:v>51</c:v>
                </c:pt>
              </c:numCache>
            </c:numRef>
          </c:val>
          <c:extLst>
            <c:ext xmlns:c16="http://schemas.microsoft.com/office/drawing/2014/chart" uri="{C3380CC4-5D6E-409C-BE32-E72D297353CC}">
              <c16:uniqueId val="{00000008-09F6-4D14-8BB9-06490D8F9F4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179070</xdr:rowOff>
    </xdr:from>
    <xdr:to>
      <xdr:col>10</xdr:col>
      <xdr:colOff>15240</xdr:colOff>
      <xdr:row>18</xdr:row>
      <xdr:rowOff>0</xdr:rowOff>
    </xdr:to>
    <xdr:graphicFrame macro="">
      <xdr:nvGraphicFramePr>
        <xdr:cNvPr id="2" name="Chart 1">
          <a:extLst>
            <a:ext uri="{FF2B5EF4-FFF2-40B4-BE49-F238E27FC236}">
              <a16:creationId xmlns:a16="http://schemas.microsoft.com/office/drawing/2014/main" id="{E787FA32-A663-DCB1-E30C-00EED6E2B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xdr:row>
      <xdr:rowOff>163830</xdr:rowOff>
    </xdr:from>
    <xdr:to>
      <xdr:col>10</xdr:col>
      <xdr:colOff>312420</xdr:colOff>
      <xdr:row>16</xdr:row>
      <xdr:rowOff>163830</xdr:rowOff>
    </xdr:to>
    <xdr:graphicFrame macro="">
      <xdr:nvGraphicFramePr>
        <xdr:cNvPr id="2" name="Chart 1">
          <a:extLst>
            <a:ext uri="{FF2B5EF4-FFF2-40B4-BE49-F238E27FC236}">
              <a16:creationId xmlns:a16="http://schemas.microsoft.com/office/drawing/2014/main" id="{486B5584-9A51-0343-A195-73688D425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0</xdr:row>
      <xdr:rowOff>171450</xdr:rowOff>
    </xdr:from>
    <xdr:to>
      <xdr:col>11</xdr:col>
      <xdr:colOff>304800</xdr:colOff>
      <xdr:row>15</xdr:row>
      <xdr:rowOff>171450</xdr:rowOff>
    </xdr:to>
    <xdr:graphicFrame macro="">
      <xdr:nvGraphicFramePr>
        <xdr:cNvPr id="2" name="Chart 1">
          <a:extLst>
            <a:ext uri="{FF2B5EF4-FFF2-40B4-BE49-F238E27FC236}">
              <a16:creationId xmlns:a16="http://schemas.microsoft.com/office/drawing/2014/main" id="{FC342966-C113-1E58-F704-F164A3EC7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1</xdr:row>
      <xdr:rowOff>163830</xdr:rowOff>
    </xdr:from>
    <xdr:to>
      <xdr:col>11</xdr:col>
      <xdr:colOff>53340</xdr:colOff>
      <xdr:row>15</xdr:row>
      <xdr:rowOff>7620</xdr:rowOff>
    </xdr:to>
    <xdr:graphicFrame macro="">
      <xdr:nvGraphicFramePr>
        <xdr:cNvPr id="2" name="Chart 1">
          <a:extLst>
            <a:ext uri="{FF2B5EF4-FFF2-40B4-BE49-F238E27FC236}">
              <a16:creationId xmlns:a16="http://schemas.microsoft.com/office/drawing/2014/main" id="{0EDFA76F-F2F3-17AD-1702-1BA528763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xdr:colOff>
      <xdr:row>0</xdr:row>
      <xdr:rowOff>171450</xdr:rowOff>
    </xdr:from>
    <xdr:to>
      <xdr:col>10</xdr:col>
      <xdr:colOff>0</xdr:colOff>
      <xdr:row>15</xdr:row>
      <xdr:rowOff>7620</xdr:rowOff>
    </xdr:to>
    <xdr:graphicFrame macro="">
      <xdr:nvGraphicFramePr>
        <xdr:cNvPr id="2" name="Chart 1">
          <a:extLst>
            <a:ext uri="{FF2B5EF4-FFF2-40B4-BE49-F238E27FC236}">
              <a16:creationId xmlns:a16="http://schemas.microsoft.com/office/drawing/2014/main" id="{3B1ECEC2-AF31-8187-4FFE-1025007F2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15</xdr:col>
      <xdr:colOff>175260</xdr:colOff>
      <xdr:row>3</xdr:row>
      <xdr:rowOff>76200</xdr:rowOff>
    </xdr:from>
    <xdr:to>
      <xdr:col>22</xdr:col>
      <xdr:colOff>327660</xdr:colOff>
      <xdr:row>15</xdr:row>
      <xdr:rowOff>38100</xdr:rowOff>
    </xdr:to>
    <xdr:graphicFrame macro="">
      <xdr:nvGraphicFramePr>
        <xdr:cNvPr id="6" name="Chart 5">
          <a:extLst>
            <a:ext uri="{FF2B5EF4-FFF2-40B4-BE49-F238E27FC236}">
              <a16:creationId xmlns:a16="http://schemas.microsoft.com/office/drawing/2014/main" id="{5BCCCD61-8821-4CBA-8057-F840BE236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419100</xdr:colOff>
      <xdr:row>3</xdr:row>
      <xdr:rowOff>53340</xdr:rowOff>
    </xdr:from>
    <xdr:to>
      <xdr:col>14</xdr:col>
      <xdr:colOff>586740</xdr:colOff>
      <xdr:row>15</xdr:row>
      <xdr:rowOff>7620</xdr:rowOff>
    </xdr:to>
    <xdr:graphicFrame macro="">
      <xdr:nvGraphicFramePr>
        <xdr:cNvPr id="7" name="Chart 6">
          <a:extLst>
            <a:ext uri="{FF2B5EF4-FFF2-40B4-BE49-F238E27FC236}">
              <a16:creationId xmlns:a16="http://schemas.microsoft.com/office/drawing/2014/main" id="{90FB68AE-A0EF-4CB1-9415-65EBCA3AB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xdr:colOff>
      <xdr:row>15</xdr:row>
      <xdr:rowOff>76200</xdr:rowOff>
    </xdr:from>
    <xdr:to>
      <xdr:col>7</xdr:col>
      <xdr:colOff>190500</xdr:colOff>
      <xdr:row>29</xdr:row>
      <xdr:rowOff>114300</xdr:rowOff>
    </xdr:to>
    <xdr:graphicFrame macro="">
      <xdr:nvGraphicFramePr>
        <xdr:cNvPr id="8" name="Chart 7">
          <a:extLst>
            <a:ext uri="{FF2B5EF4-FFF2-40B4-BE49-F238E27FC236}">
              <a16:creationId xmlns:a16="http://schemas.microsoft.com/office/drawing/2014/main" id="{9C93D3D9-10A9-4223-9275-DD8178B96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167640</xdr:colOff>
      <xdr:row>15</xdr:row>
      <xdr:rowOff>121920</xdr:rowOff>
    </xdr:from>
    <xdr:to>
      <xdr:col>22</xdr:col>
      <xdr:colOff>312420</xdr:colOff>
      <xdr:row>29</xdr:row>
      <xdr:rowOff>121920</xdr:rowOff>
    </xdr:to>
    <xdr:graphicFrame macro="">
      <xdr:nvGraphicFramePr>
        <xdr:cNvPr id="9" name="Chart 8">
          <a:extLst>
            <a:ext uri="{FF2B5EF4-FFF2-40B4-BE49-F238E27FC236}">
              <a16:creationId xmlns:a16="http://schemas.microsoft.com/office/drawing/2014/main" id="{35E47CBC-D8B7-4922-BA2E-CA9266E2A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3</xdr:row>
      <xdr:rowOff>68580</xdr:rowOff>
    </xdr:from>
    <xdr:to>
      <xdr:col>7</xdr:col>
      <xdr:colOff>182880</xdr:colOff>
      <xdr:row>15</xdr:row>
      <xdr:rowOff>7620</xdr:rowOff>
    </xdr:to>
    <xdr:graphicFrame macro="">
      <xdr:nvGraphicFramePr>
        <xdr:cNvPr id="12" name="Chart 11">
          <a:extLst>
            <a:ext uri="{FF2B5EF4-FFF2-40B4-BE49-F238E27FC236}">
              <a16:creationId xmlns:a16="http://schemas.microsoft.com/office/drawing/2014/main" id="{D33F4847-38D7-4926-9DFE-91EF524FA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251460</xdr:colOff>
      <xdr:row>15</xdr:row>
      <xdr:rowOff>114300</xdr:rowOff>
    </xdr:from>
    <xdr:to>
      <xdr:col>10</xdr:col>
      <xdr:colOff>53340</xdr:colOff>
      <xdr:row>26</xdr:row>
      <xdr:rowOff>22860</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FD7E4A42-523E-409A-8A90-CF8DFFD4037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518660" y="3032760"/>
              <a:ext cx="1630680" cy="192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342900</xdr:colOff>
      <xdr:row>15</xdr:row>
      <xdr:rowOff>129540</xdr:rowOff>
    </xdr:from>
    <xdr:to>
      <xdr:col>15</xdr:col>
      <xdr:colOff>114300</xdr:colOff>
      <xdr:row>26</xdr:row>
      <xdr:rowOff>7620</xdr:rowOff>
    </xdr:to>
    <mc:AlternateContent xmlns:mc="http://schemas.openxmlformats.org/markup-compatibility/2006" xmlns:a14="http://schemas.microsoft.com/office/drawing/2010/main">
      <mc:Choice Requires="a14">
        <xdr:graphicFrame macro="">
          <xdr:nvGraphicFramePr>
            <xdr:cNvPr id="14" name="status">
              <a:extLst>
                <a:ext uri="{FF2B5EF4-FFF2-40B4-BE49-F238E27FC236}">
                  <a16:creationId xmlns:a16="http://schemas.microsoft.com/office/drawing/2014/main" id="{65FD79B8-6F23-4D1A-8083-C1A37BE0A22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658100" y="3048000"/>
              <a:ext cx="1600200" cy="188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114300</xdr:colOff>
      <xdr:row>15</xdr:row>
      <xdr:rowOff>129540</xdr:rowOff>
    </xdr:from>
    <xdr:to>
      <xdr:col>12</xdr:col>
      <xdr:colOff>251460</xdr:colOff>
      <xdr:row>26</xdr:row>
      <xdr:rowOff>22860</xdr:rowOff>
    </xdr:to>
    <mc:AlternateContent xmlns:mc="http://schemas.openxmlformats.org/markup-compatibility/2006" xmlns:a14="http://schemas.microsoft.com/office/drawing/2010/main">
      <mc:Choice Requires="a14">
        <xdr:graphicFrame macro="">
          <xdr:nvGraphicFramePr>
            <xdr:cNvPr id="15" name="payment_status">
              <a:extLst>
                <a:ext uri="{FF2B5EF4-FFF2-40B4-BE49-F238E27FC236}">
                  <a16:creationId xmlns:a16="http://schemas.microsoft.com/office/drawing/2014/main" id="{F9FEBCD9-50E0-4F5A-9456-B3951ED7F4E7}"/>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6210300" y="3048000"/>
              <a:ext cx="135636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419100</xdr:colOff>
      <xdr:row>33</xdr:row>
      <xdr:rowOff>76200</xdr:rowOff>
    </xdr:from>
    <xdr:to>
      <xdr:col>7</xdr:col>
      <xdr:colOff>335280</xdr:colOff>
      <xdr:row>43</xdr:row>
      <xdr:rowOff>144780</xdr:rowOff>
    </xdr:to>
    <xdr:sp macro="" textlink="">
      <xdr:nvSpPr>
        <xdr:cNvPr id="16" name="Rectangle 15">
          <a:extLst>
            <a:ext uri="{FF2B5EF4-FFF2-40B4-BE49-F238E27FC236}">
              <a16:creationId xmlns:a16="http://schemas.microsoft.com/office/drawing/2014/main" id="{AACACB20-65B5-6ED7-C15A-4F572ED4183D}"/>
            </a:ext>
          </a:extLst>
        </xdr:cNvPr>
        <xdr:cNvSpPr/>
      </xdr:nvSpPr>
      <xdr:spPr>
        <a:xfrm>
          <a:off x="419100" y="6286500"/>
          <a:ext cx="4183380" cy="189738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200" b="1">
              <a:solidFill>
                <a:schemeClr val="tx1"/>
              </a:solidFill>
            </a:rPr>
            <a:t>1. Appointment Status Insight</a:t>
          </a:r>
        </a:p>
        <a:p>
          <a:r>
            <a:rPr lang="en-IN" sz="1200">
              <a:solidFill>
                <a:schemeClr val="tx1"/>
              </a:solidFill>
            </a:rPr>
            <a:t>a.</a:t>
          </a:r>
          <a:r>
            <a:rPr lang="en-IN" sz="1200" baseline="0">
              <a:solidFill>
                <a:schemeClr val="tx1"/>
              </a:solidFill>
            </a:rPr>
            <a:t> </a:t>
          </a:r>
          <a:r>
            <a:rPr lang="en-IN" sz="1200">
              <a:solidFill>
                <a:schemeClr val="tx1"/>
              </a:solidFill>
            </a:rPr>
            <a:t>Completed (52) and Cancelled (51) appointments are almost equal, while No-shows (46) are also significantly high. </a:t>
          </a:r>
        </a:p>
        <a:p>
          <a:r>
            <a:rPr lang="en-IN" sz="1200">
              <a:solidFill>
                <a:schemeClr val="tx1"/>
              </a:solidFill>
            </a:rPr>
            <a:t>b. This indicates </a:t>
          </a:r>
          <a:r>
            <a:rPr lang="en-IN" sz="1200" b="1">
              <a:solidFill>
                <a:schemeClr val="tx1"/>
              </a:solidFill>
            </a:rPr>
            <a:t>inefficiency in appointment management</a:t>
          </a:r>
          <a:r>
            <a:rPr lang="en-IN" sz="1200">
              <a:solidFill>
                <a:schemeClr val="tx1"/>
              </a:solidFill>
            </a:rPr>
            <a:t>, as a large portion of scheduled appointments are not successfully completed. </a:t>
          </a:r>
        </a:p>
        <a:p>
          <a:r>
            <a:rPr lang="en-IN" sz="1200">
              <a:solidFill>
                <a:schemeClr val="tx1"/>
              </a:solidFill>
            </a:rPr>
            <a:t>c. The hospital should implement </a:t>
          </a:r>
          <a:r>
            <a:rPr lang="en-IN" sz="1200" b="1">
              <a:solidFill>
                <a:schemeClr val="tx1"/>
              </a:solidFill>
            </a:rPr>
            <a:t>reminder systems and better scheduling strategies</a:t>
          </a:r>
          <a:r>
            <a:rPr lang="en-IN" sz="1200">
              <a:solidFill>
                <a:schemeClr val="tx1"/>
              </a:solidFill>
            </a:rPr>
            <a:t> to reduce cancellations and no-shows.</a:t>
          </a:r>
        </a:p>
        <a:p>
          <a:pPr algn="l"/>
          <a:endParaRPr lang="en-IN" sz="1100"/>
        </a:p>
      </xdr:txBody>
    </xdr:sp>
    <xdr:clientData/>
  </xdr:twoCellAnchor>
  <xdr:twoCellAnchor>
    <xdr:from>
      <xdr:col>8</xdr:col>
      <xdr:colOff>91440</xdr:colOff>
      <xdr:row>33</xdr:row>
      <xdr:rowOff>83820</xdr:rowOff>
    </xdr:from>
    <xdr:to>
      <xdr:col>15</xdr:col>
      <xdr:colOff>7620</xdr:colOff>
      <xdr:row>43</xdr:row>
      <xdr:rowOff>144780</xdr:rowOff>
    </xdr:to>
    <xdr:sp macro="" textlink="">
      <xdr:nvSpPr>
        <xdr:cNvPr id="17" name="Rectangle 16">
          <a:extLst>
            <a:ext uri="{FF2B5EF4-FFF2-40B4-BE49-F238E27FC236}">
              <a16:creationId xmlns:a16="http://schemas.microsoft.com/office/drawing/2014/main" id="{2E4C10C0-1DA1-476C-8D60-DE8B648AB914}"/>
            </a:ext>
          </a:extLst>
        </xdr:cNvPr>
        <xdr:cNvSpPr/>
      </xdr:nvSpPr>
      <xdr:spPr>
        <a:xfrm>
          <a:off x="4968240" y="6294120"/>
          <a:ext cx="4183380" cy="188976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200" b="1">
              <a:solidFill>
                <a:schemeClr val="tx1"/>
              </a:solidFill>
            </a:rPr>
            <a:t>2. Monthly Appointment Trend Insight</a:t>
          </a:r>
        </a:p>
        <a:p>
          <a:r>
            <a:rPr lang="en-IN" sz="1200">
              <a:solidFill>
                <a:schemeClr val="tx1"/>
              </a:solidFill>
            </a:rPr>
            <a:t>a. Appointments peak in </a:t>
          </a:r>
          <a:r>
            <a:rPr lang="en-IN" sz="1200" b="1">
              <a:solidFill>
                <a:schemeClr val="tx1"/>
              </a:solidFill>
            </a:rPr>
            <a:t>April (25)</a:t>
          </a:r>
          <a:r>
            <a:rPr lang="en-IN" sz="1200">
              <a:solidFill>
                <a:schemeClr val="tx1"/>
              </a:solidFill>
            </a:rPr>
            <a:t> and remain relatively high in </a:t>
          </a:r>
          <a:r>
            <a:rPr lang="en-IN" sz="1200" b="1">
              <a:solidFill>
                <a:schemeClr val="tx1"/>
              </a:solidFill>
            </a:rPr>
            <a:t>January (20) and November (17)</a:t>
          </a:r>
          <a:r>
            <a:rPr lang="en-IN" sz="1200">
              <a:solidFill>
                <a:schemeClr val="tx1"/>
              </a:solidFill>
            </a:rPr>
            <a:t>. </a:t>
          </a:r>
        </a:p>
        <a:p>
          <a:r>
            <a:rPr lang="en-IN" sz="1200">
              <a:solidFill>
                <a:schemeClr val="tx1"/>
              </a:solidFill>
            </a:rPr>
            <a:t>b. A noticeable decline occurs in </a:t>
          </a:r>
          <a:r>
            <a:rPr lang="en-IN" sz="1200" b="1">
              <a:solidFill>
                <a:schemeClr val="tx1"/>
              </a:solidFill>
            </a:rPr>
            <a:t>September (11)</a:t>
          </a:r>
          <a:r>
            <a:rPr lang="en-IN" sz="1200">
              <a:solidFill>
                <a:schemeClr val="tx1"/>
              </a:solidFill>
            </a:rPr>
            <a:t> and </a:t>
          </a:r>
          <a:r>
            <a:rPr lang="en-IN" sz="1200" b="1">
              <a:solidFill>
                <a:schemeClr val="tx1"/>
              </a:solidFill>
            </a:rPr>
            <a:t>December (12)</a:t>
          </a:r>
          <a:r>
            <a:rPr lang="en-IN" sz="1200">
              <a:solidFill>
                <a:schemeClr val="tx1"/>
              </a:solidFill>
            </a:rPr>
            <a:t>. </a:t>
          </a:r>
        </a:p>
        <a:p>
          <a:r>
            <a:rPr lang="en-IN" sz="1200">
              <a:solidFill>
                <a:schemeClr val="tx1"/>
              </a:solidFill>
            </a:rPr>
            <a:t>c. This shows </a:t>
          </a:r>
          <a:r>
            <a:rPr lang="en-IN" sz="1200" b="1">
              <a:solidFill>
                <a:schemeClr val="tx1"/>
              </a:solidFill>
            </a:rPr>
            <a:t>seasonal variation in patient demand</a:t>
          </a:r>
          <a:r>
            <a:rPr lang="en-IN" sz="1200">
              <a:solidFill>
                <a:schemeClr val="tx1"/>
              </a:solidFill>
            </a:rPr>
            <a:t>, suggesting the need for </a:t>
          </a:r>
          <a:r>
            <a:rPr lang="en-IN" sz="1200" b="1">
              <a:solidFill>
                <a:schemeClr val="tx1"/>
              </a:solidFill>
            </a:rPr>
            <a:t>better resource planning during peak months</a:t>
          </a:r>
          <a:r>
            <a:rPr lang="en-IN" sz="1200">
              <a:solidFill>
                <a:schemeClr val="tx1"/>
              </a:solidFill>
            </a:rPr>
            <a:t>.</a:t>
          </a:r>
        </a:p>
        <a:p>
          <a:pPr algn="l"/>
          <a:endParaRPr lang="en-IN" sz="1100"/>
        </a:p>
      </xdr:txBody>
    </xdr:sp>
    <xdr:clientData/>
  </xdr:twoCellAnchor>
  <xdr:twoCellAnchor>
    <xdr:from>
      <xdr:col>15</xdr:col>
      <xdr:colOff>419100</xdr:colOff>
      <xdr:row>33</xdr:row>
      <xdr:rowOff>60960</xdr:rowOff>
    </xdr:from>
    <xdr:to>
      <xdr:col>22</xdr:col>
      <xdr:colOff>335280</xdr:colOff>
      <xdr:row>43</xdr:row>
      <xdr:rowOff>129540</xdr:rowOff>
    </xdr:to>
    <xdr:sp macro="" textlink="">
      <xdr:nvSpPr>
        <xdr:cNvPr id="18" name="Rectangle 17">
          <a:extLst>
            <a:ext uri="{FF2B5EF4-FFF2-40B4-BE49-F238E27FC236}">
              <a16:creationId xmlns:a16="http://schemas.microsoft.com/office/drawing/2014/main" id="{5DDC4630-4AFD-437E-8C32-2FE391C56B45}"/>
            </a:ext>
          </a:extLst>
        </xdr:cNvPr>
        <xdr:cNvSpPr/>
      </xdr:nvSpPr>
      <xdr:spPr>
        <a:xfrm>
          <a:off x="9563100" y="6271260"/>
          <a:ext cx="4183380" cy="189738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200" b="1">
              <a:solidFill>
                <a:schemeClr val="tx1"/>
              </a:solidFill>
            </a:rPr>
            <a:t>3. Payment Status Insight</a:t>
          </a:r>
        </a:p>
        <a:p>
          <a:r>
            <a:rPr lang="en-IN" sz="1200">
              <a:solidFill>
                <a:schemeClr val="tx1"/>
              </a:solidFill>
            </a:rPr>
            <a:t>a. Failed (67) and Pending (69) payments together are </a:t>
          </a:r>
          <a:r>
            <a:rPr lang="en-IN" sz="1200" b="1">
              <a:solidFill>
                <a:schemeClr val="tx1"/>
              </a:solidFill>
            </a:rPr>
            <a:t>higher than Paid (64)</a:t>
          </a:r>
          <a:r>
            <a:rPr lang="en-IN" sz="1200">
              <a:solidFill>
                <a:schemeClr val="tx1"/>
              </a:solidFill>
            </a:rPr>
            <a:t>. </a:t>
          </a:r>
        </a:p>
        <a:p>
          <a:r>
            <a:rPr lang="en-IN" sz="1200">
              <a:solidFill>
                <a:schemeClr val="tx1"/>
              </a:solidFill>
            </a:rPr>
            <a:t>b. This indicates </a:t>
          </a:r>
          <a:r>
            <a:rPr lang="en-IN" sz="1200" b="1">
              <a:solidFill>
                <a:schemeClr val="tx1"/>
              </a:solidFill>
            </a:rPr>
            <a:t>revenue leakage and inefficiency in the billing system</a:t>
          </a:r>
          <a:r>
            <a:rPr lang="en-IN" sz="1200">
              <a:solidFill>
                <a:schemeClr val="tx1"/>
              </a:solidFill>
            </a:rPr>
            <a:t>. </a:t>
          </a:r>
        </a:p>
        <a:p>
          <a:r>
            <a:rPr lang="en-IN" sz="1200">
              <a:solidFill>
                <a:schemeClr val="tx1"/>
              </a:solidFill>
            </a:rPr>
            <a:t>c. The hospital should focus on </a:t>
          </a:r>
          <a:r>
            <a:rPr lang="en-IN" sz="1200" b="1">
              <a:solidFill>
                <a:schemeClr val="tx1"/>
              </a:solidFill>
            </a:rPr>
            <a:t>improving payment collection processes</a:t>
          </a:r>
          <a:r>
            <a:rPr lang="en-IN" sz="1200">
              <a:solidFill>
                <a:schemeClr val="tx1"/>
              </a:solidFill>
            </a:rPr>
            <a:t> and reducing failed transactions.</a:t>
          </a:r>
        </a:p>
        <a:p>
          <a:pPr algn="l"/>
          <a:endParaRPr lang="en-IN" sz="1100"/>
        </a:p>
      </xdr:txBody>
    </xdr:sp>
    <xdr:clientData/>
  </xdr:twoCellAnchor>
  <xdr:twoCellAnchor>
    <xdr:from>
      <xdr:col>15</xdr:col>
      <xdr:colOff>449580</xdr:colOff>
      <xdr:row>44</xdr:row>
      <xdr:rowOff>68580</xdr:rowOff>
    </xdr:from>
    <xdr:to>
      <xdr:col>22</xdr:col>
      <xdr:colOff>297180</xdr:colOff>
      <xdr:row>55</xdr:row>
      <xdr:rowOff>45720</xdr:rowOff>
    </xdr:to>
    <xdr:sp macro="" textlink="">
      <xdr:nvSpPr>
        <xdr:cNvPr id="19" name="Rectangle 18">
          <a:extLst>
            <a:ext uri="{FF2B5EF4-FFF2-40B4-BE49-F238E27FC236}">
              <a16:creationId xmlns:a16="http://schemas.microsoft.com/office/drawing/2014/main" id="{63BCFEA5-27E6-4778-B1C1-7FA4BAE6991C}"/>
            </a:ext>
          </a:extLst>
        </xdr:cNvPr>
        <xdr:cNvSpPr/>
      </xdr:nvSpPr>
      <xdr:spPr>
        <a:xfrm>
          <a:off x="9593580" y="8290560"/>
          <a:ext cx="4114800" cy="19888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200" b="1">
              <a:solidFill>
                <a:schemeClr val="tx1"/>
              </a:solidFill>
            </a:rPr>
            <a:t>6. Overall Business Insight</a:t>
          </a:r>
        </a:p>
        <a:p>
          <a:r>
            <a:rPr lang="en-IN" sz="1200">
              <a:solidFill>
                <a:schemeClr val="tx1"/>
              </a:solidFill>
            </a:rPr>
            <a:t>a. The hospital is facing challenges in: </a:t>
          </a:r>
        </a:p>
        <a:p>
          <a:pPr lvl="1"/>
          <a:r>
            <a:rPr lang="en-IN" sz="1200">
              <a:solidFill>
                <a:schemeClr val="tx1"/>
              </a:solidFill>
            </a:rPr>
            <a:t>Appointment completion </a:t>
          </a:r>
        </a:p>
        <a:p>
          <a:pPr lvl="1"/>
          <a:r>
            <a:rPr lang="en-IN" sz="1200">
              <a:solidFill>
                <a:schemeClr val="tx1"/>
              </a:solidFill>
            </a:rPr>
            <a:t>Payment collection </a:t>
          </a:r>
        </a:p>
        <a:p>
          <a:pPr lvl="1"/>
          <a:r>
            <a:rPr lang="en-IN" sz="1200">
              <a:solidFill>
                <a:schemeClr val="tx1"/>
              </a:solidFill>
            </a:rPr>
            <a:t>Patient flow consistency </a:t>
          </a:r>
        </a:p>
        <a:p>
          <a:r>
            <a:rPr lang="en-IN" sz="1200">
              <a:solidFill>
                <a:schemeClr val="tx1"/>
              </a:solidFill>
            </a:rPr>
            <a:t>b. At the same time, there are strong opportunities in: </a:t>
          </a:r>
        </a:p>
        <a:p>
          <a:pPr lvl="1"/>
          <a:r>
            <a:rPr lang="en-IN" sz="1200">
              <a:solidFill>
                <a:schemeClr val="tx1"/>
              </a:solidFill>
            </a:rPr>
            <a:t>High-performing specializations </a:t>
          </a:r>
        </a:p>
        <a:p>
          <a:pPr lvl="1"/>
          <a:r>
            <a:rPr lang="en-IN" sz="1200">
              <a:solidFill>
                <a:schemeClr val="tx1"/>
              </a:solidFill>
            </a:rPr>
            <a:t>Peak demand periods </a:t>
          </a:r>
        </a:p>
        <a:p>
          <a:r>
            <a:rPr lang="en-IN" sz="1200">
              <a:solidFill>
                <a:schemeClr val="tx1"/>
              </a:solidFill>
            </a:rPr>
            <a:t> This suggests that </a:t>
          </a:r>
          <a:r>
            <a:rPr lang="en-IN" sz="1200" b="1">
              <a:solidFill>
                <a:schemeClr val="tx1"/>
              </a:solidFill>
            </a:rPr>
            <a:t>improving operational efficiency can significantly increase revenue and patient satisfaction</a:t>
          </a:r>
          <a:r>
            <a:rPr lang="en-IN" sz="1200">
              <a:solidFill>
                <a:schemeClr val="tx1"/>
              </a:solidFill>
            </a:rPr>
            <a:t>.</a:t>
          </a:r>
        </a:p>
        <a:p>
          <a:pPr algn="l"/>
          <a:endParaRPr lang="en-IN" sz="1100"/>
        </a:p>
      </xdr:txBody>
    </xdr:sp>
    <xdr:clientData/>
  </xdr:twoCellAnchor>
  <xdr:twoCellAnchor>
    <xdr:from>
      <xdr:col>0</xdr:col>
      <xdr:colOff>388620</xdr:colOff>
      <xdr:row>44</xdr:row>
      <xdr:rowOff>91440</xdr:rowOff>
    </xdr:from>
    <xdr:to>
      <xdr:col>7</xdr:col>
      <xdr:colOff>373380</xdr:colOff>
      <xdr:row>55</xdr:row>
      <xdr:rowOff>15240</xdr:rowOff>
    </xdr:to>
    <xdr:sp macro="" textlink="">
      <xdr:nvSpPr>
        <xdr:cNvPr id="20" name="Rectangle 19">
          <a:extLst>
            <a:ext uri="{FF2B5EF4-FFF2-40B4-BE49-F238E27FC236}">
              <a16:creationId xmlns:a16="http://schemas.microsoft.com/office/drawing/2014/main" id="{D53A6594-0548-480D-B5CB-4F3D58605D2F}"/>
            </a:ext>
          </a:extLst>
        </xdr:cNvPr>
        <xdr:cNvSpPr/>
      </xdr:nvSpPr>
      <xdr:spPr>
        <a:xfrm>
          <a:off x="388620" y="8313420"/>
          <a:ext cx="4251960" cy="193548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200" b="1">
              <a:solidFill>
                <a:schemeClr val="tx1"/>
              </a:solidFill>
            </a:rPr>
            <a:t>4. Patient Visit Distribution Insight</a:t>
          </a:r>
        </a:p>
        <a:p>
          <a:r>
            <a:rPr lang="en-IN" sz="1200">
              <a:solidFill>
                <a:schemeClr val="tx1"/>
              </a:solidFill>
            </a:rPr>
            <a:t>a. Patient visits vary significantly, with the highest reaching </a:t>
          </a:r>
          <a:r>
            <a:rPr lang="en-IN" sz="1200" b="1">
              <a:solidFill>
                <a:schemeClr val="tx1"/>
              </a:solidFill>
            </a:rPr>
            <a:t>29 visits</a:t>
          </a:r>
          <a:r>
            <a:rPr lang="en-IN" sz="1200">
              <a:solidFill>
                <a:schemeClr val="tx1"/>
              </a:solidFill>
            </a:rPr>
            <a:t> and lowest around </a:t>
          </a:r>
          <a:r>
            <a:rPr lang="en-IN" sz="1200" b="1">
              <a:solidFill>
                <a:schemeClr val="tx1"/>
              </a:solidFill>
            </a:rPr>
            <a:t>13 visits</a:t>
          </a:r>
          <a:r>
            <a:rPr lang="en-IN" sz="1200">
              <a:solidFill>
                <a:schemeClr val="tx1"/>
              </a:solidFill>
            </a:rPr>
            <a:t>. </a:t>
          </a:r>
        </a:p>
        <a:p>
          <a:r>
            <a:rPr lang="en-IN" sz="1200">
              <a:solidFill>
                <a:schemeClr val="tx1"/>
              </a:solidFill>
            </a:rPr>
            <a:t>b. This fluctuation indicates </a:t>
          </a:r>
          <a:r>
            <a:rPr lang="en-IN" sz="1200" b="1">
              <a:solidFill>
                <a:schemeClr val="tx1"/>
              </a:solidFill>
            </a:rPr>
            <a:t>uneven patient inflow</a:t>
          </a:r>
          <a:r>
            <a:rPr lang="en-IN" sz="1200">
              <a:solidFill>
                <a:schemeClr val="tx1"/>
              </a:solidFill>
            </a:rPr>
            <a:t>, which may impact doctor workload and service quality. </a:t>
          </a:r>
        </a:p>
        <a:p>
          <a:r>
            <a:rPr lang="en-IN" sz="1200">
              <a:solidFill>
                <a:schemeClr val="tx1"/>
              </a:solidFill>
            </a:rPr>
            <a:t>c. Better </a:t>
          </a:r>
          <a:r>
            <a:rPr lang="en-IN" sz="1200" b="1">
              <a:solidFill>
                <a:schemeClr val="tx1"/>
              </a:solidFill>
            </a:rPr>
            <a:t>appointment distribution and load balancing</a:t>
          </a:r>
          <a:r>
            <a:rPr lang="en-IN" sz="1200">
              <a:solidFill>
                <a:schemeClr val="tx1"/>
              </a:solidFill>
            </a:rPr>
            <a:t> is required.</a:t>
          </a:r>
        </a:p>
        <a:p>
          <a:pPr algn="l"/>
          <a:endParaRPr lang="en-IN" sz="1200">
            <a:solidFill>
              <a:schemeClr val="accent6">
                <a:lumMod val="75000"/>
              </a:schemeClr>
            </a:solidFill>
          </a:endParaRPr>
        </a:p>
      </xdr:txBody>
    </xdr:sp>
    <xdr:clientData/>
  </xdr:twoCellAnchor>
  <xdr:twoCellAnchor>
    <xdr:from>
      <xdr:col>8</xdr:col>
      <xdr:colOff>91440</xdr:colOff>
      <xdr:row>44</xdr:row>
      <xdr:rowOff>91440</xdr:rowOff>
    </xdr:from>
    <xdr:to>
      <xdr:col>15</xdr:col>
      <xdr:colOff>7620</xdr:colOff>
      <xdr:row>55</xdr:row>
      <xdr:rowOff>38100</xdr:rowOff>
    </xdr:to>
    <xdr:sp macro="" textlink="">
      <xdr:nvSpPr>
        <xdr:cNvPr id="21" name="Rectangle 20">
          <a:extLst>
            <a:ext uri="{FF2B5EF4-FFF2-40B4-BE49-F238E27FC236}">
              <a16:creationId xmlns:a16="http://schemas.microsoft.com/office/drawing/2014/main" id="{E7197553-B39D-4714-8E2D-F8A888EEC74F}"/>
            </a:ext>
          </a:extLst>
        </xdr:cNvPr>
        <xdr:cNvSpPr/>
      </xdr:nvSpPr>
      <xdr:spPr>
        <a:xfrm>
          <a:off x="4968240" y="8313420"/>
          <a:ext cx="4183380" cy="195834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200" b="1">
              <a:solidFill>
                <a:schemeClr val="tx1"/>
              </a:solidFill>
            </a:rPr>
            <a:t>5. Revenue by Specialization Insight</a:t>
          </a:r>
        </a:p>
        <a:p>
          <a:r>
            <a:rPr lang="en-IN" sz="1200" b="1">
              <a:solidFill>
                <a:schemeClr val="tx1"/>
              </a:solidFill>
            </a:rPr>
            <a:t>a. Pediatrics generates the highest revenue (~258,937)</a:t>
          </a:r>
          <a:r>
            <a:rPr lang="en-IN" sz="1200">
              <a:solidFill>
                <a:schemeClr val="tx1"/>
              </a:solidFill>
            </a:rPr>
            <a:t> among all specializations. </a:t>
          </a:r>
        </a:p>
        <a:p>
          <a:r>
            <a:rPr lang="en-IN" sz="1200">
              <a:solidFill>
                <a:schemeClr val="tx1"/>
              </a:solidFill>
            </a:rPr>
            <a:t>b. This indicates strong demand and profitability in this area. </a:t>
          </a:r>
        </a:p>
        <a:p>
          <a:r>
            <a:rPr lang="en-IN" sz="1200">
              <a:solidFill>
                <a:schemeClr val="tx1"/>
              </a:solidFill>
            </a:rPr>
            <a:t>c. The hospital can </a:t>
          </a:r>
          <a:r>
            <a:rPr lang="en-IN" sz="1200" b="1">
              <a:solidFill>
                <a:schemeClr val="tx1"/>
              </a:solidFill>
            </a:rPr>
            <a:t>invest more in high-revenue specializations</a:t>
          </a:r>
          <a:r>
            <a:rPr lang="en-IN" sz="1200">
              <a:solidFill>
                <a:schemeClr val="tx1"/>
              </a:solidFill>
            </a:rPr>
            <a:t> to maximize overall revenue. </a:t>
          </a:r>
        </a:p>
        <a:p>
          <a:pPr algn="l"/>
          <a:endParaRPr lang="en-IN" sz="1200">
            <a:solidFill>
              <a:schemeClr val="accent6">
                <a:lumMod val="7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refreshedDate="46104.908603935182" createdVersion="8" refreshedVersion="8" minRefreshableVersion="3" recordCount="200" xr:uid="{F672DF36-076C-47EE-9959-74374F652135}">
  <cacheSource type="worksheet">
    <worksheetSource name="Table2"/>
  </cacheSource>
  <cacheFields count="12">
    <cacheField name="appointment_id" numFmtId="0">
      <sharedItems/>
    </cacheField>
    <cacheField name="patient_name" numFmtId="0">
      <sharedItems/>
    </cacheField>
    <cacheField name="doctor_name" numFmtId="0">
      <sharedItems count="10">
        <s v="David Taylor"/>
        <s v="David Jones"/>
        <s v="Alex Davis"/>
        <s v="Robert Davis"/>
        <s v="Linda Brown"/>
        <s v="Jane Smith"/>
        <s v="Linda Wilson"/>
        <s v="Sarah Taylor"/>
        <s v="Sarah Smith"/>
        <s v="Jane Davis"/>
      </sharedItems>
    </cacheField>
    <cacheField name="specialization" numFmtId="0">
      <sharedItems count="3">
        <s v="Dermatology"/>
        <s v="Pediatrics"/>
        <s v="Oncology"/>
      </sharedItems>
    </cacheField>
    <cacheField name="appointment_date" numFmtId="164">
      <sharedItems containsSemiMixedTypes="0" containsNonDate="0" containsDate="1" containsString="0" minDate="2023-01-01T00:00:00" maxDate="2023-12-31T00:00:00"/>
    </cacheField>
    <cacheField name="appointment_time" numFmtId="21">
      <sharedItems containsSemiMixedTypes="0" containsNonDate="0" containsDate="1" containsString="0" minDate="1899-12-30T08:00:00" maxDate="1899-12-30T17:45:00"/>
    </cacheField>
    <cacheField name="reason_for_visit" numFmtId="0">
      <sharedItems/>
    </cacheField>
    <cacheField name="status" numFmtId="0">
      <sharedItems count="4">
        <s v="No-show"/>
        <s v="Scheduled"/>
        <s v="Cancelled"/>
        <s v="Completed"/>
      </sharedItems>
    </cacheField>
    <cacheField name="treatment_cost" numFmtId="0">
      <sharedItems containsSemiMixedTypes="0" containsString="0" containsNumber="1" minValue="534.03" maxValue="4973.63"/>
    </cacheField>
    <cacheField name="billed_amount" numFmtId="0">
      <sharedItems containsSemiMixedTypes="0" containsString="0" containsNumber="1" minValue="534.03" maxValue="4973.63"/>
    </cacheField>
    <cacheField name="payment_status" numFmtId="0">
      <sharedItems count="3">
        <s v="Paid"/>
        <s v="Failed"/>
        <s v="Pending"/>
      </sharedItems>
    </cacheField>
    <cacheField name="Month"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617988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A041"/>
    <s v="David Wilson"/>
    <x v="0"/>
    <x v="0"/>
    <d v="2023-01-01T00:00:00"/>
    <d v="1899-12-30T14:00:00"/>
    <s v="Emergency"/>
    <x v="0"/>
    <n v="3349.18"/>
    <n v="3349.18"/>
    <x v="0"/>
    <x v="0"/>
  </r>
  <r>
    <s v="A162"/>
    <s v="Jane Smith"/>
    <x v="1"/>
    <x v="1"/>
    <d v="2023-01-01T00:00:00"/>
    <d v="1899-12-30T17:15:00"/>
    <s v="Emergency"/>
    <x v="0"/>
    <n v="2212.8000000000002"/>
    <n v="2212.8000000000002"/>
    <x v="0"/>
    <x v="0"/>
  </r>
  <r>
    <s v="A056"/>
    <s v="David Moore"/>
    <x v="1"/>
    <x v="1"/>
    <d v="2023-01-02T00:00:00"/>
    <d v="1899-12-30T12:45:00"/>
    <s v="Checkup"/>
    <x v="1"/>
    <n v="4201.76"/>
    <n v="4201.76"/>
    <x v="0"/>
    <x v="0"/>
  </r>
  <r>
    <s v="A155"/>
    <s v="Robert Wilson"/>
    <x v="0"/>
    <x v="0"/>
    <d v="2023-01-03T00:00:00"/>
    <d v="1899-12-30T09:30:00"/>
    <s v="Consultation"/>
    <x v="2"/>
    <n v="2736.34"/>
    <n v="2736.34"/>
    <x v="1"/>
    <x v="0"/>
  </r>
  <r>
    <s v="A146"/>
    <s v="Alex Moore"/>
    <x v="2"/>
    <x v="1"/>
    <d v="2023-01-05T00:00:00"/>
    <d v="1899-12-30T09:30:00"/>
    <s v="Emergency"/>
    <x v="0"/>
    <n v="894.39"/>
    <n v="894.39"/>
    <x v="2"/>
    <x v="0"/>
  </r>
  <r>
    <s v="A081"/>
    <s v="Michael Taylor"/>
    <x v="3"/>
    <x v="2"/>
    <d v="2023-01-06T00:00:00"/>
    <d v="1899-12-30T13:30:00"/>
    <s v="Therapy"/>
    <x v="2"/>
    <n v="3729.19"/>
    <n v="3729.19"/>
    <x v="2"/>
    <x v="0"/>
  </r>
  <r>
    <s v="A180"/>
    <s v="Alex Johnson"/>
    <x v="4"/>
    <x v="0"/>
    <d v="2023-01-07T00:00:00"/>
    <d v="1899-12-30T11:00:00"/>
    <s v="Consultation"/>
    <x v="2"/>
    <n v="3228.14"/>
    <n v="3228.14"/>
    <x v="0"/>
    <x v="0"/>
  </r>
  <r>
    <s v="A036"/>
    <s v="Michael Wilson"/>
    <x v="5"/>
    <x v="1"/>
    <d v="2023-01-08T00:00:00"/>
    <d v="1899-12-30T14:30:00"/>
    <s v="Checkup"/>
    <x v="0"/>
    <n v="4833.17"/>
    <n v="4833.17"/>
    <x v="2"/>
    <x v="0"/>
  </r>
  <r>
    <s v="A112"/>
    <s v="Emily Miller"/>
    <x v="6"/>
    <x v="2"/>
    <d v="2023-01-11T00:00:00"/>
    <d v="1899-12-30T08:00:00"/>
    <s v="Follow-up"/>
    <x v="0"/>
    <n v="2593.4299999999998"/>
    <n v="2593.4299999999998"/>
    <x v="2"/>
    <x v="0"/>
  </r>
  <r>
    <s v="A166"/>
    <s v="David Wilson"/>
    <x v="6"/>
    <x v="2"/>
    <d v="2023-01-12T00:00:00"/>
    <d v="1899-12-30T14:45:00"/>
    <s v="Therapy"/>
    <x v="0"/>
    <n v="4055.14"/>
    <n v="4055.14"/>
    <x v="1"/>
    <x v="0"/>
  </r>
  <r>
    <s v="A010"/>
    <s v="David Wilson"/>
    <x v="5"/>
    <x v="1"/>
    <d v="2023-01-13T00:00:00"/>
    <d v="1899-12-30T15:30:00"/>
    <s v="Therapy"/>
    <x v="3"/>
    <n v="1595.67"/>
    <n v="1595.67"/>
    <x v="0"/>
    <x v="0"/>
  </r>
  <r>
    <s v="A061"/>
    <s v="Sarah Brown"/>
    <x v="7"/>
    <x v="0"/>
    <d v="2023-01-15T00:00:00"/>
    <d v="1899-12-30T17:00:00"/>
    <s v="Therapy"/>
    <x v="0"/>
    <n v="2532.9499999999998"/>
    <n v="2532.9499999999998"/>
    <x v="0"/>
    <x v="0"/>
  </r>
  <r>
    <s v="A015"/>
    <s v="John Taylor"/>
    <x v="1"/>
    <x v="1"/>
    <d v="2023-01-15T00:00:00"/>
    <d v="1899-12-30T17:15:00"/>
    <s v="Consultation"/>
    <x v="0"/>
    <n v="956.39"/>
    <n v="956.39"/>
    <x v="2"/>
    <x v="0"/>
  </r>
  <r>
    <s v="A048"/>
    <s v="David Williams"/>
    <x v="8"/>
    <x v="1"/>
    <d v="2023-01-16T00:00:00"/>
    <d v="1899-12-30T15:45:00"/>
    <s v="Emergency"/>
    <x v="2"/>
    <n v="3249.41"/>
    <n v="3249.41"/>
    <x v="1"/>
    <x v="0"/>
  </r>
  <r>
    <s v="A178"/>
    <s v="Jane Jones"/>
    <x v="3"/>
    <x v="2"/>
    <d v="2023-01-17T00:00:00"/>
    <d v="1899-12-30T13:15:00"/>
    <s v="Checkup"/>
    <x v="2"/>
    <n v="4652.41"/>
    <n v="4652.41"/>
    <x v="2"/>
    <x v="0"/>
  </r>
  <r>
    <s v="A082"/>
    <s v="Emily Smith"/>
    <x v="4"/>
    <x v="0"/>
    <d v="2023-01-20T00:00:00"/>
    <d v="1899-12-30T10:45:00"/>
    <s v="Follow-up"/>
    <x v="1"/>
    <n v="3615.96"/>
    <n v="3615.96"/>
    <x v="2"/>
    <x v="0"/>
  </r>
  <r>
    <s v="A103"/>
    <s v="Michael Wilson"/>
    <x v="7"/>
    <x v="0"/>
    <d v="2023-01-24T00:00:00"/>
    <d v="1899-12-30T08:30:00"/>
    <s v="Therapy"/>
    <x v="2"/>
    <n v="3428.95"/>
    <n v="3428.95"/>
    <x v="2"/>
    <x v="0"/>
  </r>
  <r>
    <s v="A071"/>
    <s v="David Williams"/>
    <x v="2"/>
    <x v="1"/>
    <d v="2023-01-26T00:00:00"/>
    <d v="1899-12-30T17:00:00"/>
    <s v="Follow-up"/>
    <x v="1"/>
    <n v="2960.14"/>
    <n v="2960.14"/>
    <x v="0"/>
    <x v="0"/>
  </r>
  <r>
    <s v="A151"/>
    <s v="Michael Taylor"/>
    <x v="9"/>
    <x v="1"/>
    <d v="2023-01-28T00:00:00"/>
    <d v="1899-12-30T09:15:00"/>
    <s v="Therapy"/>
    <x v="1"/>
    <n v="2512.41"/>
    <n v="2512.41"/>
    <x v="2"/>
    <x v="0"/>
  </r>
  <r>
    <s v="A092"/>
    <s v="John Taylor"/>
    <x v="0"/>
    <x v="0"/>
    <d v="2023-01-30T00:00:00"/>
    <d v="1899-12-30T14:15:00"/>
    <s v="Therapy"/>
    <x v="1"/>
    <n v="1363.4"/>
    <n v="1363.4"/>
    <x v="1"/>
    <x v="0"/>
  </r>
  <r>
    <s v="A183"/>
    <s v="Emily Williams"/>
    <x v="1"/>
    <x v="1"/>
    <d v="2023-02-03T00:00:00"/>
    <d v="1899-12-30T16:15:00"/>
    <s v="Checkup"/>
    <x v="3"/>
    <n v="2761.55"/>
    <n v="2761.55"/>
    <x v="2"/>
    <x v="1"/>
  </r>
  <r>
    <s v="A051"/>
    <s v="Michael Johnson"/>
    <x v="2"/>
    <x v="1"/>
    <d v="2023-02-04T00:00:00"/>
    <d v="1899-12-30T11:45:00"/>
    <s v="Checkup"/>
    <x v="3"/>
    <n v="4550.1000000000004"/>
    <n v="4550.1000000000004"/>
    <x v="1"/>
    <x v="1"/>
  </r>
  <r>
    <s v="A140"/>
    <s v="Laura Davis"/>
    <x v="7"/>
    <x v="0"/>
    <d v="2023-02-05T00:00:00"/>
    <d v="1899-12-30T15:15:00"/>
    <s v="Checkup"/>
    <x v="0"/>
    <n v="4019.13"/>
    <n v="4019.13"/>
    <x v="2"/>
    <x v="1"/>
  </r>
  <r>
    <s v="A019"/>
    <s v="David Smith"/>
    <x v="0"/>
    <x v="0"/>
    <d v="2023-02-06T00:00:00"/>
    <d v="1899-12-30T15:30:00"/>
    <s v="Checkup"/>
    <x v="2"/>
    <n v="1882.8"/>
    <n v="1882.8"/>
    <x v="2"/>
    <x v="1"/>
  </r>
  <r>
    <s v="A053"/>
    <s v="Sarah Brown"/>
    <x v="7"/>
    <x v="0"/>
    <d v="2023-02-12T00:00:00"/>
    <d v="1899-12-30T10:30:00"/>
    <s v="Checkup"/>
    <x v="2"/>
    <n v="1565.92"/>
    <n v="1565.92"/>
    <x v="2"/>
    <x v="1"/>
  </r>
  <r>
    <s v="A187"/>
    <s v="Linda Moore"/>
    <x v="5"/>
    <x v="1"/>
    <d v="2023-02-13T00:00:00"/>
    <d v="1899-12-30T12:30:00"/>
    <s v="Consultation"/>
    <x v="1"/>
    <n v="806.78"/>
    <n v="806.78"/>
    <x v="2"/>
    <x v="1"/>
  </r>
  <r>
    <s v="A089"/>
    <s v="David Smith"/>
    <x v="6"/>
    <x v="2"/>
    <d v="2023-02-14T00:00:00"/>
    <d v="1899-12-30T11:00:00"/>
    <s v="Consultation"/>
    <x v="3"/>
    <n v="857.39"/>
    <n v="857.39"/>
    <x v="2"/>
    <x v="1"/>
  </r>
  <r>
    <s v="A085"/>
    <s v="Linda Johnson"/>
    <x v="0"/>
    <x v="0"/>
    <d v="2023-02-18T00:00:00"/>
    <d v="1899-12-30T16:15:00"/>
    <s v="Follow-up"/>
    <x v="2"/>
    <n v="968.49"/>
    <n v="968.49"/>
    <x v="0"/>
    <x v="1"/>
  </r>
  <r>
    <s v="A125"/>
    <s v="Linda Johnson"/>
    <x v="3"/>
    <x v="2"/>
    <d v="2023-02-18T00:00:00"/>
    <d v="1899-12-30T10:15:00"/>
    <s v="Checkup"/>
    <x v="3"/>
    <n v="4079.52"/>
    <n v="4079.52"/>
    <x v="1"/>
    <x v="1"/>
  </r>
  <r>
    <s v="A038"/>
    <s v="Robert Williams"/>
    <x v="8"/>
    <x v="1"/>
    <d v="2023-02-23T00:00:00"/>
    <d v="1899-12-30T13:00:00"/>
    <s v="Consultation"/>
    <x v="1"/>
    <n v="4126.97"/>
    <n v="4126.97"/>
    <x v="1"/>
    <x v="1"/>
  </r>
  <r>
    <s v="A130"/>
    <s v="Jane Jones"/>
    <x v="2"/>
    <x v="1"/>
    <d v="2023-02-23T00:00:00"/>
    <d v="1899-12-30T15:00:00"/>
    <s v="Emergency"/>
    <x v="0"/>
    <n v="4966.18"/>
    <n v="4966.18"/>
    <x v="1"/>
    <x v="1"/>
  </r>
  <r>
    <s v="A025"/>
    <s v="Emily Moore"/>
    <x v="0"/>
    <x v="0"/>
    <d v="2023-02-25T00:00:00"/>
    <d v="1899-12-30T08:00:00"/>
    <s v="Follow-up"/>
    <x v="0"/>
    <n v="1726.81"/>
    <n v="1726.81"/>
    <x v="1"/>
    <x v="1"/>
  </r>
  <r>
    <s v="A184"/>
    <s v="Jane Smith"/>
    <x v="4"/>
    <x v="0"/>
    <d v="2023-02-26T00:00:00"/>
    <d v="1899-12-30T17:45:00"/>
    <s v="Therapy"/>
    <x v="3"/>
    <n v="2293.98"/>
    <n v="2293.98"/>
    <x v="2"/>
    <x v="1"/>
  </r>
  <r>
    <s v="A123"/>
    <s v="David Moore"/>
    <x v="9"/>
    <x v="1"/>
    <d v="2023-02-28T00:00:00"/>
    <d v="1899-12-30T10:45:00"/>
    <s v="Therapy"/>
    <x v="3"/>
    <n v="2064.0700000000002"/>
    <n v="2064.0700000000002"/>
    <x v="0"/>
    <x v="1"/>
  </r>
  <r>
    <s v="A100"/>
    <s v="David Smith"/>
    <x v="2"/>
    <x v="1"/>
    <d v="2023-03-02T00:00:00"/>
    <d v="1899-12-30T08:00:00"/>
    <s v="Emergency"/>
    <x v="1"/>
    <n v="1551.7"/>
    <n v="1551.7"/>
    <x v="1"/>
    <x v="2"/>
  </r>
  <r>
    <s v="A170"/>
    <s v="Linda Brown"/>
    <x v="7"/>
    <x v="0"/>
    <d v="2023-03-03T00:00:00"/>
    <d v="1899-12-30T09:00:00"/>
    <s v="Checkup"/>
    <x v="1"/>
    <n v="1280.8599999999999"/>
    <n v="1280.8599999999999"/>
    <x v="1"/>
    <x v="2"/>
  </r>
  <r>
    <s v="A009"/>
    <s v="Jane Wilson"/>
    <x v="6"/>
    <x v="2"/>
    <d v="2023-03-05T00:00:00"/>
    <d v="1899-12-30T13:45:00"/>
    <s v="Follow-up"/>
    <x v="1"/>
    <n v="4541.1400000000003"/>
    <n v="4541.1400000000003"/>
    <x v="0"/>
    <x v="2"/>
  </r>
  <r>
    <s v="A154"/>
    <s v="Laura Davis"/>
    <x v="2"/>
    <x v="1"/>
    <d v="2023-03-06T00:00:00"/>
    <d v="1899-12-30T17:30:00"/>
    <s v="Emergency"/>
    <x v="0"/>
    <n v="4637.26"/>
    <n v="4637.26"/>
    <x v="1"/>
    <x v="2"/>
  </r>
  <r>
    <s v="A179"/>
    <s v="David Smith"/>
    <x v="2"/>
    <x v="1"/>
    <d v="2023-03-08T00:00:00"/>
    <d v="1899-12-30T12:15:00"/>
    <s v="Checkup"/>
    <x v="3"/>
    <n v="2691.78"/>
    <n v="2691.78"/>
    <x v="1"/>
    <x v="2"/>
  </r>
  <r>
    <s v="A059"/>
    <s v="Linda Moore"/>
    <x v="6"/>
    <x v="2"/>
    <d v="2023-03-09T00:00:00"/>
    <d v="1899-12-30T15:30:00"/>
    <s v="Therapy"/>
    <x v="2"/>
    <n v="929.91"/>
    <n v="929.91"/>
    <x v="2"/>
    <x v="2"/>
  </r>
  <r>
    <s v="A172"/>
    <s v="Laura Wilson"/>
    <x v="2"/>
    <x v="1"/>
    <d v="2023-03-09T00:00:00"/>
    <d v="1899-12-30T16:15:00"/>
    <s v="Checkup"/>
    <x v="1"/>
    <n v="2057.4499999999998"/>
    <n v="2057.4499999999998"/>
    <x v="0"/>
    <x v="2"/>
  </r>
  <r>
    <s v="A068"/>
    <s v="Robert Williams"/>
    <x v="7"/>
    <x v="0"/>
    <d v="2023-03-14T00:00:00"/>
    <d v="1899-12-30T15:00:00"/>
    <s v="Checkup"/>
    <x v="1"/>
    <n v="606.37"/>
    <n v="606.37"/>
    <x v="1"/>
    <x v="2"/>
  </r>
  <r>
    <s v="A124"/>
    <s v="Laura Johnson"/>
    <x v="4"/>
    <x v="0"/>
    <d v="2023-03-16T00:00:00"/>
    <d v="1899-12-30T17:15:00"/>
    <s v="Emergency"/>
    <x v="2"/>
    <n v="3492.1"/>
    <n v="3492.1"/>
    <x v="2"/>
    <x v="2"/>
  </r>
  <r>
    <s v="A026"/>
    <s v="Michael Taylor"/>
    <x v="2"/>
    <x v="1"/>
    <d v="2023-03-17T00:00:00"/>
    <d v="1899-12-30T14:15:00"/>
    <s v="Follow-up"/>
    <x v="2"/>
    <n v="2360.9699999999998"/>
    <n v="2360.9699999999998"/>
    <x v="0"/>
    <x v="2"/>
  </r>
  <r>
    <s v="A098"/>
    <s v="Linda Miller"/>
    <x v="7"/>
    <x v="0"/>
    <d v="2023-03-17T00:00:00"/>
    <d v="1899-12-30T13:00:00"/>
    <s v="Emergency"/>
    <x v="3"/>
    <n v="804.26"/>
    <n v="804.26"/>
    <x v="0"/>
    <x v="2"/>
  </r>
  <r>
    <s v="A185"/>
    <s v="Laura Davis"/>
    <x v="8"/>
    <x v="1"/>
    <d v="2023-03-21T00:00:00"/>
    <d v="1899-12-30T14:00:00"/>
    <s v="Consultation"/>
    <x v="1"/>
    <n v="1158.68"/>
    <n v="1158.68"/>
    <x v="2"/>
    <x v="2"/>
  </r>
  <r>
    <s v="A042"/>
    <s v="Michael Wilson"/>
    <x v="0"/>
    <x v="0"/>
    <d v="2023-03-21T00:00:00"/>
    <d v="1899-12-30T11:15:00"/>
    <s v="Emergency"/>
    <x v="1"/>
    <n v="4781.32"/>
    <n v="4781.32"/>
    <x v="2"/>
    <x v="2"/>
  </r>
  <r>
    <s v="A133"/>
    <s v="Emily Miller"/>
    <x v="0"/>
    <x v="0"/>
    <d v="2023-03-23T00:00:00"/>
    <d v="1899-12-30T14:30:00"/>
    <s v="Checkup"/>
    <x v="3"/>
    <n v="4289.1499999999996"/>
    <n v="4289.1499999999996"/>
    <x v="0"/>
    <x v="2"/>
  </r>
  <r>
    <s v="A040"/>
    <s v="Michael Taylor"/>
    <x v="8"/>
    <x v="1"/>
    <d v="2023-03-27T00:00:00"/>
    <d v="1899-12-30T12:30:00"/>
    <s v="Therapy"/>
    <x v="3"/>
    <n v="695.36"/>
    <n v="695.36"/>
    <x v="1"/>
    <x v="2"/>
  </r>
  <r>
    <s v="A186"/>
    <s v="Laura Wilson"/>
    <x v="5"/>
    <x v="1"/>
    <d v="2023-03-27T00:00:00"/>
    <d v="1899-12-30T17:15:00"/>
    <s v="Follow-up"/>
    <x v="0"/>
    <n v="2153.9"/>
    <n v="2153.9"/>
    <x v="0"/>
    <x v="2"/>
  </r>
  <r>
    <s v="A037"/>
    <s v="Emily Moore"/>
    <x v="1"/>
    <x v="1"/>
    <d v="2023-03-28T00:00:00"/>
    <d v="1899-12-30T11:00:00"/>
    <s v="Consultation"/>
    <x v="1"/>
    <n v="2675.96"/>
    <n v="2675.96"/>
    <x v="1"/>
    <x v="2"/>
  </r>
  <r>
    <s v="A043"/>
    <s v="Alex Smith"/>
    <x v="7"/>
    <x v="0"/>
    <d v="2023-03-29T00:00:00"/>
    <d v="1899-12-30T09:15:00"/>
    <s v="Consultation"/>
    <x v="0"/>
    <n v="3207.25"/>
    <n v="3207.25"/>
    <x v="1"/>
    <x v="2"/>
  </r>
  <r>
    <s v="A069"/>
    <s v="Laura Davis"/>
    <x v="1"/>
    <x v="1"/>
    <d v="2023-03-29T00:00:00"/>
    <d v="1899-12-30T15:30:00"/>
    <s v="Therapy"/>
    <x v="2"/>
    <n v="3388.87"/>
    <n v="3388.87"/>
    <x v="0"/>
    <x v="2"/>
  </r>
  <r>
    <s v="A197"/>
    <s v="David Williams"/>
    <x v="7"/>
    <x v="0"/>
    <d v="2023-04-01T00:00:00"/>
    <d v="1899-12-30T13:30:00"/>
    <s v="Emergency"/>
    <x v="0"/>
    <n v="975.49"/>
    <n v="975.49"/>
    <x v="2"/>
    <x v="3"/>
  </r>
  <r>
    <s v="A031"/>
    <s v="John Taylor"/>
    <x v="2"/>
    <x v="1"/>
    <d v="2023-04-04T00:00:00"/>
    <d v="1899-12-30T10:30:00"/>
    <s v="Checkup"/>
    <x v="3"/>
    <n v="2863.24"/>
    <n v="2863.24"/>
    <x v="2"/>
    <x v="3"/>
  </r>
  <r>
    <s v="A165"/>
    <s v="Robert Miller"/>
    <x v="0"/>
    <x v="0"/>
    <d v="2023-04-04T00:00:00"/>
    <d v="1899-12-30T15:30:00"/>
    <s v="Consultation"/>
    <x v="2"/>
    <n v="4126.66"/>
    <n v="4126.66"/>
    <x v="1"/>
    <x v="3"/>
  </r>
  <r>
    <s v="A194"/>
    <s v="David Davis"/>
    <x v="9"/>
    <x v="1"/>
    <d v="2023-04-06T00:00:00"/>
    <d v="1899-12-30T12:45:00"/>
    <s v="Therapy"/>
    <x v="1"/>
    <n v="1903.17"/>
    <n v="1903.17"/>
    <x v="2"/>
    <x v="3"/>
  </r>
  <r>
    <s v="A121"/>
    <s v="Robert Williams"/>
    <x v="0"/>
    <x v="0"/>
    <d v="2023-04-07T00:00:00"/>
    <d v="1899-12-30T15:00:00"/>
    <s v="Checkup"/>
    <x v="3"/>
    <n v="2526.67"/>
    <n v="2526.67"/>
    <x v="2"/>
    <x v="3"/>
  </r>
  <r>
    <s v="A159"/>
    <s v="Michael Taylor"/>
    <x v="5"/>
    <x v="1"/>
    <d v="2023-04-08T00:00:00"/>
    <d v="1899-12-30T16:15:00"/>
    <s v="Emergency"/>
    <x v="0"/>
    <n v="4687.68"/>
    <n v="4687.68"/>
    <x v="2"/>
    <x v="3"/>
  </r>
  <r>
    <s v="A094"/>
    <s v="Robert Williams"/>
    <x v="9"/>
    <x v="1"/>
    <d v="2023-04-08T00:00:00"/>
    <d v="1899-12-30T08:45:00"/>
    <s v="Consultation"/>
    <x v="2"/>
    <n v="1519.95"/>
    <n v="1519.95"/>
    <x v="1"/>
    <x v="3"/>
  </r>
  <r>
    <s v="A007"/>
    <s v="David Williams"/>
    <x v="3"/>
    <x v="2"/>
    <d v="2023-04-09T00:00:00"/>
    <d v="1899-12-30T10:30:00"/>
    <s v="Consultation"/>
    <x v="1"/>
    <n v="534.03"/>
    <n v="534.03"/>
    <x v="1"/>
    <x v="3"/>
  </r>
  <r>
    <s v="A093"/>
    <s v="Alex Smith"/>
    <x v="0"/>
    <x v="0"/>
    <d v="2023-04-09T00:00:00"/>
    <d v="1899-12-30T09:30:00"/>
    <s v="Follow-up"/>
    <x v="3"/>
    <n v="1955.17"/>
    <n v="1955.17"/>
    <x v="1"/>
    <x v="3"/>
  </r>
  <r>
    <s v="A188"/>
    <s v="Emily Smith"/>
    <x v="9"/>
    <x v="1"/>
    <d v="2023-04-12T00:00:00"/>
    <d v="1899-12-30T16:30:00"/>
    <s v="Follow-up"/>
    <x v="2"/>
    <n v="616.15"/>
    <n v="616.15"/>
    <x v="0"/>
    <x v="3"/>
  </r>
  <r>
    <s v="A182"/>
    <s v="Laura Johnson"/>
    <x v="4"/>
    <x v="0"/>
    <d v="2023-04-12T00:00:00"/>
    <d v="1899-12-30T08:00:00"/>
    <s v="Follow-up"/>
    <x v="3"/>
    <n v="1286.77"/>
    <n v="1286.77"/>
    <x v="0"/>
    <x v="3"/>
  </r>
  <r>
    <s v="A191"/>
    <s v="Robert Williams"/>
    <x v="5"/>
    <x v="1"/>
    <d v="2023-04-12T00:00:00"/>
    <d v="1899-12-30T16:00:00"/>
    <s v="Consultation"/>
    <x v="2"/>
    <n v="2972.88"/>
    <n v="2972.88"/>
    <x v="1"/>
    <x v="3"/>
  </r>
  <r>
    <s v="A152"/>
    <s v="David Wilson"/>
    <x v="1"/>
    <x v="1"/>
    <d v="2023-04-14T00:00:00"/>
    <d v="1899-12-30T08:30:00"/>
    <s v="Therapy"/>
    <x v="3"/>
    <n v="3202.67"/>
    <n v="3202.67"/>
    <x v="1"/>
    <x v="3"/>
  </r>
  <r>
    <s v="A128"/>
    <s v="Robert Williams"/>
    <x v="9"/>
    <x v="1"/>
    <d v="2023-04-15T00:00:00"/>
    <d v="1899-12-30T14:45:00"/>
    <s v="Follow-up"/>
    <x v="3"/>
    <n v="2296.92"/>
    <n v="2296.92"/>
    <x v="2"/>
    <x v="3"/>
  </r>
  <r>
    <s v="A057"/>
    <s v="Alex Moore"/>
    <x v="6"/>
    <x v="2"/>
    <d v="2023-04-15T00:00:00"/>
    <d v="1899-12-30T17:45:00"/>
    <s v="Emergency"/>
    <x v="3"/>
    <n v="2406.8200000000002"/>
    <n v="2406.8200000000002"/>
    <x v="0"/>
    <x v="3"/>
  </r>
  <r>
    <s v="A107"/>
    <s v="Laura Davis"/>
    <x v="3"/>
    <x v="2"/>
    <d v="2023-04-17T00:00:00"/>
    <d v="1899-12-30T13:45:00"/>
    <s v="Follow-up"/>
    <x v="3"/>
    <n v="3512.69"/>
    <n v="3512.69"/>
    <x v="2"/>
    <x v="3"/>
  </r>
  <r>
    <s v="A039"/>
    <s v="Linda Johnson"/>
    <x v="9"/>
    <x v="1"/>
    <d v="2023-04-17T00:00:00"/>
    <d v="1899-12-30T08:00:00"/>
    <s v="Follow-up"/>
    <x v="1"/>
    <n v="2976.02"/>
    <n v="2976.02"/>
    <x v="1"/>
    <x v="3"/>
  </r>
  <r>
    <s v="A035"/>
    <s v="Michael Wilson"/>
    <x v="5"/>
    <x v="1"/>
    <d v="2023-04-18T00:00:00"/>
    <d v="1899-12-30T08:45:00"/>
    <s v="Follow-up"/>
    <x v="1"/>
    <n v="1654.53"/>
    <n v="1654.53"/>
    <x v="1"/>
    <x v="3"/>
  </r>
  <r>
    <s v="A104"/>
    <s v="Michael Wilson"/>
    <x v="2"/>
    <x v="1"/>
    <d v="2023-04-18T00:00:00"/>
    <d v="1899-12-30T08:45:00"/>
    <s v="Follow-up"/>
    <x v="3"/>
    <n v="2898.31"/>
    <n v="2898.31"/>
    <x v="1"/>
    <x v="3"/>
  </r>
  <r>
    <s v="A171"/>
    <s v="Emily Jones"/>
    <x v="9"/>
    <x v="1"/>
    <d v="2023-04-18T00:00:00"/>
    <d v="1899-12-30T16:30:00"/>
    <s v="Follow-up"/>
    <x v="2"/>
    <n v="3627.28"/>
    <n v="3627.28"/>
    <x v="1"/>
    <x v="3"/>
  </r>
  <r>
    <s v="A108"/>
    <s v="Sarah Brown"/>
    <x v="7"/>
    <x v="0"/>
    <d v="2023-04-21T00:00:00"/>
    <d v="1899-12-30T15:00:00"/>
    <s v="Emergency"/>
    <x v="2"/>
    <n v="4973.63"/>
    <n v="4973.63"/>
    <x v="0"/>
    <x v="3"/>
  </r>
  <r>
    <s v="A065"/>
    <s v="Michael Wilson"/>
    <x v="0"/>
    <x v="0"/>
    <d v="2023-04-24T00:00:00"/>
    <d v="1899-12-30T15:45:00"/>
    <s v="Emergency"/>
    <x v="2"/>
    <n v="4382.59"/>
    <n v="4382.59"/>
    <x v="1"/>
    <x v="3"/>
  </r>
  <r>
    <s v="A021"/>
    <s v="Alex Moore"/>
    <x v="8"/>
    <x v="1"/>
    <d v="2023-04-24T00:00:00"/>
    <d v="1899-12-30T10:00:00"/>
    <s v="Therapy"/>
    <x v="0"/>
    <n v="2926.23"/>
    <n v="2926.23"/>
    <x v="1"/>
    <x v="3"/>
  </r>
  <r>
    <s v="A176"/>
    <s v="Michael Taylor"/>
    <x v="8"/>
    <x v="1"/>
    <d v="2023-04-26T00:00:00"/>
    <d v="1899-12-30T09:30:00"/>
    <s v="Therapy"/>
    <x v="0"/>
    <n v="1096.3599999999999"/>
    <n v="1096.3599999999999"/>
    <x v="0"/>
    <x v="3"/>
  </r>
  <r>
    <s v="A049"/>
    <s v="David Wilson"/>
    <x v="6"/>
    <x v="2"/>
    <d v="2023-04-30T00:00:00"/>
    <d v="1899-12-30T15:30:00"/>
    <s v="Consultation"/>
    <x v="0"/>
    <n v="2349.63"/>
    <n v="2349.63"/>
    <x v="2"/>
    <x v="3"/>
  </r>
  <r>
    <s v="A199"/>
    <s v="Jane Jones"/>
    <x v="0"/>
    <x v="0"/>
    <d v="2023-05-01T00:00:00"/>
    <d v="1899-12-30T12:45:00"/>
    <s v="Follow-up"/>
    <x v="3"/>
    <n v="1472.17"/>
    <n v="1472.17"/>
    <x v="0"/>
    <x v="4"/>
  </r>
  <r>
    <s v="A088"/>
    <s v="David Davis"/>
    <x v="7"/>
    <x v="0"/>
    <d v="2023-05-02T00:00:00"/>
    <d v="1899-12-30T16:30:00"/>
    <s v="Checkup"/>
    <x v="3"/>
    <n v="1733.72"/>
    <n v="1733.72"/>
    <x v="0"/>
    <x v="4"/>
  </r>
  <r>
    <s v="A047"/>
    <s v="Alex Moore"/>
    <x v="3"/>
    <x v="2"/>
    <d v="2023-05-02T00:00:00"/>
    <d v="1899-12-30T11:00:00"/>
    <s v="Therapy"/>
    <x v="3"/>
    <n v="1454.2"/>
    <n v="1454.2"/>
    <x v="1"/>
    <x v="4"/>
  </r>
  <r>
    <s v="A097"/>
    <s v="Laura Wilson"/>
    <x v="0"/>
    <x v="0"/>
    <d v="2023-05-06T00:00:00"/>
    <d v="1899-12-30T14:45:00"/>
    <s v="Follow-up"/>
    <x v="0"/>
    <n v="2835.77"/>
    <n v="2835.77"/>
    <x v="1"/>
    <x v="4"/>
  </r>
  <r>
    <s v="A012"/>
    <s v="David Smith"/>
    <x v="5"/>
    <x v="1"/>
    <d v="2023-05-07T00:00:00"/>
    <d v="1899-12-30T10:00:00"/>
    <s v="Follow-up"/>
    <x v="3"/>
    <n v="771.2"/>
    <n v="771.2"/>
    <x v="2"/>
    <x v="4"/>
  </r>
  <r>
    <s v="A075"/>
    <s v="Linda Brown"/>
    <x v="8"/>
    <x v="1"/>
    <d v="2023-05-08T00:00:00"/>
    <d v="1899-12-30T14:00:00"/>
    <s v="Follow-up"/>
    <x v="2"/>
    <n v="2735.45"/>
    <n v="2735.45"/>
    <x v="1"/>
    <x v="4"/>
  </r>
  <r>
    <s v="A095"/>
    <s v="Alex Johnson"/>
    <x v="8"/>
    <x v="1"/>
    <d v="2023-05-09T00:00:00"/>
    <d v="1899-12-30T10:15:00"/>
    <s v="Therapy"/>
    <x v="2"/>
    <n v="2097.48"/>
    <n v="2097.48"/>
    <x v="1"/>
    <x v="4"/>
  </r>
  <r>
    <s v="A023"/>
    <s v="Jane Moore"/>
    <x v="8"/>
    <x v="1"/>
    <d v="2023-05-09T00:00:00"/>
    <d v="1899-12-30T14:30:00"/>
    <s v="Follow-up"/>
    <x v="2"/>
    <n v="3246.5"/>
    <n v="3246.5"/>
    <x v="2"/>
    <x v="4"/>
  </r>
  <r>
    <s v="A058"/>
    <s v="Alex Moore"/>
    <x v="4"/>
    <x v="0"/>
    <d v="2023-05-09T00:00:00"/>
    <d v="1899-12-30T13:15:00"/>
    <s v="Consultation"/>
    <x v="0"/>
    <n v="3503.97"/>
    <n v="3503.97"/>
    <x v="1"/>
    <x v="4"/>
  </r>
  <r>
    <s v="A066"/>
    <s v="Michael Wilson"/>
    <x v="8"/>
    <x v="1"/>
    <d v="2023-05-10T00:00:00"/>
    <d v="1899-12-30T11:45:00"/>
    <s v="Consultation"/>
    <x v="0"/>
    <n v="1475.33"/>
    <n v="1475.33"/>
    <x v="2"/>
    <x v="4"/>
  </r>
  <r>
    <s v="A131"/>
    <s v="David Moore"/>
    <x v="5"/>
    <x v="1"/>
    <d v="2023-05-11T00:00:00"/>
    <d v="1899-12-30T16:30:00"/>
    <s v="Therapy"/>
    <x v="0"/>
    <n v="4671.5"/>
    <n v="4671.5"/>
    <x v="1"/>
    <x v="4"/>
  </r>
  <r>
    <s v="A157"/>
    <s v="Michael Wilson"/>
    <x v="3"/>
    <x v="2"/>
    <d v="2023-05-12T00:00:00"/>
    <d v="1899-12-30T11:00:00"/>
    <s v="Follow-up"/>
    <x v="3"/>
    <n v="4331.41"/>
    <n v="4331.41"/>
    <x v="1"/>
    <x v="4"/>
  </r>
  <r>
    <s v="A136"/>
    <s v="Laura Johnson"/>
    <x v="8"/>
    <x v="1"/>
    <d v="2023-05-13T00:00:00"/>
    <d v="1899-12-30T12:30:00"/>
    <s v="Follow-up"/>
    <x v="3"/>
    <n v="901.06"/>
    <n v="901.06"/>
    <x v="1"/>
    <x v="4"/>
  </r>
  <r>
    <s v="A198"/>
    <s v="John Brown"/>
    <x v="2"/>
    <x v="1"/>
    <d v="2023-05-15T00:00:00"/>
    <d v="1899-12-30T08:30:00"/>
    <s v="Therapy"/>
    <x v="0"/>
    <n v="3383.72"/>
    <n v="3383.72"/>
    <x v="1"/>
    <x v="4"/>
  </r>
  <r>
    <s v="A111"/>
    <s v="David Wilson"/>
    <x v="6"/>
    <x v="2"/>
    <d v="2023-05-22T00:00:00"/>
    <d v="1899-12-30T15:30:00"/>
    <s v="Follow-up"/>
    <x v="1"/>
    <n v="3787.93"/>
    <n v="3787.93"/>
    <x v="0"/>
    <x v="4"/>
  </r>
  <r>
    <s v="A008"/>
    <s v="Michael Taylor"/>
    <x v="6"/>
    <x v="2"/>
    <d v="2023-05-24T00:00:00"/>
    <d v="1899-12-30T08:45:00"/>
    <s v="Consultation"/>
    <x v="2"/>
    <n v="3413.64"/>
    <n v="3413.64"/>
    <x v="1"/>
    <x v="4"/>
  </r>
  <r>
    <s v="A014"/>
    <s v="Laura Davis"/>
    <x v="6"/>
    <x v="2"/>
    <d v="2023-05-25T00:00:00"/>
    <d v="1899-12-30T10:30:00"/>
    <s v="Emergency"/>
    <x v="2"/>
    <n v="2082.3000000000002"/>
    <n v="2082.3000000000002"/>
    <x v="0"/>
    <x v="4"/>
  </r>
  <r>
    <s v="A084"/>
    <s v="David Wilson"/>
    <x v="2"/>
    <x v="1"/>
    <d v="2023-05-31T00:00:00"/>
    <d v="1899-12-30T16:00:00"/>
    <s v="Consultation"/>
    <x v="1"/>
    <n v="1077.77"/>
    <n v="1077.77"/>
    <x v="2"/>
    <x v="4"/>
  </r>
  <r>
    <s v="A064"/>
    <s v="David Wilson"/>
    <x v="2"/>
    <x v="1"/>
    <d v="2023-05-31T00:00:00"/>
    <d v="1899-12-30T08:30:00"/>
    <s v="Checkup"/>
    <x v="2"/>
    <n v="3815.93"/>
    <n v="3815.93"/>
    <x v="0"/>
    <x v="4"/>
  </r>
  <r>
    <s v="A090"/>
    <s v="John Taylor"/>
    <x v="8"/>
    <x v="1"/>
    <d v="2023-06-01T00:00:00"/>
    <d v="1899-12-30T17:30:00"/>
    <s v="Emergency"/>
    <x v="0"/>
    <n v="885.46"/>
    <n v="885.46"/>
    <x v="0"/>
    <x v="5"/>
  </r>
  <r>
    <s v="A173"/>
    <s v="Jane Moore"/>
    <x v="7"/>
    <x v="0"/>
    <d v="2023-06-04T00:00:00"/>
    <d v="1899-12-30T13:30:00"/>
    <s v="Checkup"/>
    <x v="3"/>
    <n v="4890.25"/>
    <n v="4890.25"/>
    <x v="2"/>
    <x v="5"/>
  </r>
  <r>
    <s v="A002"/>
    <s v="Alex Moore"/>
    <x v="1"/>
    <x v="1"/>
    <d v="2023-06-09T00:00:00"/>
    <d v="1899-12-30T14:30:00"/>
    <s v="Therapy"/>
    <x v="0"/>
    <n v="4158.4399999999996"/>
    <n v="4158.4399999999996"/>
    <x v="0"/>
    <x v="5"/>
  </r>
  <r>
    <s v="A091"/>
    <s v="Michael Taylor"/>
    <x v="2"/>
    <x v="1"/>
    <d v="2023-06-11T00:00:00"/>
    <d v="1899-12-30T13:15:00"/>
    <s v="Emergency"/>
    <x v="2"/>
    <n v="4523.8599999999997"/>
    <n v="4523.8599999999997"/>
    <x v="0"/>
    <x v="5"/>
  </r>
  <r>
    <s v="A072"/>
    <s v="Michael Wilson"/>
    <x v="9"/>
    <x v="1"/>
    <d v="2023-06-12T00:00:00"/>
    <d v="1899-12-30T13:30:00"/>
    <s v="Checkup"/>
    <x v="1"/>
    <n v="1543.76"/>
    <n v="1543.76"/>
    <x v="2"/>
    <x v="5"/>
  </r>
  <r>
    <s v="A034"/>
    <s v="Jane Wilson"/>
    <x v="1"/>
    <x v="1"/>
    <d v="2023-06-13T00:00:00"/>
    <d v="1899-12-30T11:30:00"/>
    <s v="Consultation"/>
    <x v="0"/>
    <n v="3052.9"/>
    <n v="3052.9"/>
    <x v="1"/>
    <x v="5"/>
  </r>
  <r>
    <s v="A062"/>
    <s v="Laura Davis"/>
    <x v="8"/>
    <x v="1"/>
    <d v="2023-06-14T00:00:00"/>
    <d v="1899-12-30T15:15:00"/>
    <s v="Checkup"/>
    <x v="0"/>
    <n v="3139.74"/>
    <n v="3139.74"/>
    <x v="0"/>
    <x v="5"/>
  </r>
  <r>
    <s v="A141"/>
    <s v="Robert Williams"/>
    <x v="9"/>
    <x v="1"/>
    <d v="2023-06-15T00:00:00"/>
    <d v="1899-12-30T15:15:00"/>
    <s v="Checkup"/>
    <x v="3"/>
    <n v="3689.35"/>
    <n v="3689.35"/>
    <x v="2"/>
    <x v="5"/>
  </r>
  <r>
    <s v="A161"/>
    <s v="Linda Miller"/>
    <x v="7"/>
    <x v="0"/>
    <d v="2023-06-17T00:00:00"/>
    <d v="1899-12-30T10:45:00"/>
    <s v="Consultation"/>
    <x v="1"/>
    <n v="4178.5200000000004"/>
    <n v="4178.5200000000004"/>
    <x v="0"/>
    <x v="5"/>
  </r>
  <r>
    <s v="A006"/>
    <s v="Linda Miller"/>
    <x v="2"/>
    <x v="1"/>
    <d v="2023-06-19T00:00:00"/>
    <d v="1899-12-30T16:15:00"/>
    <s v="Checkup"/>
    <x v="1"/>
    <n v="1381"/>
    <n v="1381"/>
    <x v="2"/>
    <x v="5"/>
  </r>
  <r>
    <s v="A117"/>
    <s v="Alex Moore"/>
    <x v="0"/>
    <x v="0"/>
    <d v="2023-06-20T00:00:00"/>
    <d v="1899-12-30T13:45:00"/>
    <s v="Consultation"/>
    <x v="0"/>
    <n v="3605.02"/>
    <n v="3605.02"/>
    <x v="0"/>
    <x v="5"/>
  </r>
  <r>
    <s v="A024"/>
    <s v="David Moore"/>
    <x v="4"/>
    <x v="0"/>
    <d v="2023-06-21T00:00:00"/>
    <d v="1899-12-30T08:00:00"/>
    <s v="Checkup"/>
    <x v="3"/>
    <n v="3722.68"/>
    <n v="3722.68"/>
    <x v="2"/>
    <x v="5"/>
  </r>
  <r>
    <s v="A029"/>
    <s v="Michael Taylor"/>
    <x v="6"/>
    <x v="2"/>
    <d v="2023-06-25T00:00:00"/>
    <d v="1899-12-30T14:30:00"/>
    <s v="Checkup"/>
    <x v="3"/>
    <n v="3565.03"/>
    <n v="3565.03"/>
    <x v="0"/>
    <x v="5"/>
  </r>
  <r>
    <s v="A080"/>
    <s v="Robert Miller"/>
    <x v="7"/>
    <x v="0"/>
    <d v="2023-06-26T00:00:00"/>
    <d v="1899-12-30T08:30:00"/>
    <s v="Consultation"/>
    <x v="1"/>
    <n v="2426.9"/>
    <n v="2426.9"/>
    <x v="2"/>
    <x v="5"/>
  </r>
  <r>
    <s v="A163"/>
    <s v="Jane Wilson"/>
    <x v="6"/>
    <x v="2"/>
    <d v="2023-06-27T00:00:00"/>
    <d v="1899-12-30T15:00:00"/>
    <s v="Therapy"/>
    <x v="0"/>
    <n v="4450.88"/>
    <n v="4450.88"/>
    <x v="2"/>
    <x v="5"/>
  </r>
  <r>
    <s v="A003"/>
    <s v="Emily Miller"/>
    <x v="1"/>
    <x v="1"/>
    <d v="2023-06-28T00:00:00"/>
    <d v="1899-12-30T08:00:00"/>
    <s v="Consultation"/>
    <x v="2"/>
    <n v="3731.55"/>
    <n v="3731.55"/>
    <x v="0"/>
    <x v="5"/>
  </r>
  <r>
    <s v="A063"/>
    <s v="Laura Wilson"/>
    <x v="1"/>
    <x v="1"/>
    <d v="2023-06-29T00:00:00"/>
    <d v="1899-12-30T09:00:00"/>
    <s v="Follow-up"/>
    <x v="1"/>
    <n v="1256.06"/>
    <n v="1256.06"/>
    <x v="1"/>
    <x v="5"/>
  </r>
  <r>
    <s v="A016"/>
    <s v="Michael Taylor"/>
    <x v="4"/>
    <x v="0"/>
    <d v="2023-06-30T00:00:00"/>
    <d v="1899-12-30T11:00:00"/>
    <s v="Consultation"/>
    <x v="1"/>
    <n v="2686.42"/>
    <n v="2686.42"/>
    <x v="0"/>
    <x v="5"/>
  </r>
  <r>
    <s v="A099"/>
    <s v="Emily Jones"/>
    <x v="3"/>
    <x v="2"/>
    <d v="2023-07-04T00:00:00"/>
    <d v="1899-12-30T15:00:00"/>
    <s v="Checkup"/>
    <x v="3"/>
    <n v="4101.6000000000004"/>
    <n v="4101.6000000000004"/>
    <x v="2"/>
    <x v="6"/>
  </r>
  <r>
    <s v="A005"/>
    <s v="Emily Williams"/>
    <x v="5"/>
    <x v="1"/>
    <d v="2023-07-06T00:00:00"/>
    <d v="1899-12-30T12:45:00"/>
    <s v="Emergency"/>
    <x v="0"/>
    <n v="582.04999999999995"/>
    <n v="582.04999999999995"/>
    <x v="2"/>
    <x v="6"/>
  </r>
  <r>
    <s v="A116"/>
    <s v="Jane Wilson"/>
    <x v="8"/>
    <x v="1"/>
    <d v="2023-07-07T00:00:00"/>
    <d v="1899-12-30T09:15:00"/>
    <s v="Follow-up"/>
    <x v="0"/>
    <n v="1288.8599999999999"/>
    <n v="1288.8599999999999"/>
    <x v="0"/>
    <x v="6"/>
  </r>
  <r>
    <s v="A096"/>
    <s v="Michael Johnson"/>
    <x v="5"/>
    <x v="1"/>
    <d v="2023-07-07T00:00:00"/>
    <d v="1899-12-30T15:00:00"/>
    <s v="Consultation"/>
    <x v="3"/>
    <n v="812.41"/>
    <n v="812.41"/>
    <x v="2"/>
    <x v="6"/>
  </r>
  <r>
    <s v="A153"/>
    <s v="David Wilson"/>
    <x v="8"/>
    <x v="1"/>
    <d v="2023-07-08T00:00:00"/>
    <d v="1899-12-30T12:45:00"/>
    <s v="Consultation"/>
    <x v="3"/>
    <n v="2820.56"/>
    <n v="2820.56"/>
    <x v="0"/>
    <x v="6"/>
  </r>
  <r>
    <s v="A122"/>
    <s v="Laura Davis"/>
    <x v="4"/>
    <x v="0"/>
    <d v="2023-07-11T00:00:00"/>
    <d v="1899-12-30T14:30:00"/>
    <s v="Therapy"/>
    <x v="2"/>
    <n v="3902.73"/>
    <n v="3902.73"/>
    <x v="1"/>
    <x v="6"/>
  </r>
  <r>
    <s v="A017"/>
    <s v="Robert Williams"/>
    <x v="8"/>
    <x v="1"/>
    <d v="2023-07-11T00:00:00"/>
    <d v="1899-12-30T17:00:00"/>
    <s v="Emergency"/>
    <x v="1"/>
    <n v="1655.49"/>
    <n v="1655.49"/>
    <x v="2"/>
    <x v="6"/>
  </r>
  <r>
    <s v="A158"/>
    <s v="Linda Johnson"/>
    <x v="6"/>
    <x v="2"/>
    <d v="2023-07-12T00:00:00"/>
    <d v="1899-12-30T12:15:00"/>
    <s v="Checkup"/>
    <x v="3"/>
    <n v="1438.3"/>
    <n v="1438.3"/>
    <x v="0"/>
    <x v="6"/>
  </r>
  <r>
    <s v="A052"/>
    <s v="Michael Taylor"/>
    <x v="4"/>
    <x v="0"/>
    <d v="2023-07-12T00:00:00"/>
    <d v="1899-12-30T09:30:00"/>
    <s v="Therapy"/>
    <x v="0"/>
    <n v="2090.4"/>
    <n v="2090.4"/>
    <x v="0"/>
    <x v="6"/>
  </r>
  <r>
    <s v="A110"/>
    <s v="David Moore"/>
    <x v="7"/>
    <x v="0"/>
    <d v="2023-07-19T00:00:00"/>
    <d v="1899-12-30T14:30:00"/>
    <s v="Consultation"/>
    <x v="1"/>
    <n v="3010.03"/>
    <n v="3010.03"/>
    <x v="1"/>
    <x v="6"/>
  </r>
  <r>
    <s v="A074"/>
    <s v="Michael Taylor"/>
    <x v="7"/>
    <x v="0"/>
    <d v="2023-07-23T00:00:00"/>
    <d v="1899-12-30T13:30:00"/>
    <s v="Therapy"/>
    <x v="0"/>
    <n v="3175.14"/>
    <n v="3175.14"/>
    <x v="1"/>
    <x v="6"/>
  </r>
  <r>
    <s v="A169"/>
    <s v="David Smith"/>
    <x v="4"/>
    <x v="0"/>
    <d v="2023-07-24T00:00:00"/>
    <d v="1899-12-30T16:45:00"/>
    <s v="Follow-up"/>
    <x v="2"/>
    <n v="2313.41"/>
    <n v="2313.41"/>
    <x v="2"/>
    <x v="6"/>
  </r>
  <r>
    <s v="A132"/>
    <s v="Jane Moore"/>
    <x v="9"/>
    <x v="1"/>
    <d v="2023-07-26T00:00:00"/>
    <d v="1899-12-30T10:45:00"/>
    <s v="Checkup"/>
    <x v="2"/>
    <n v="2929.81"/>
    <n v="2929.81"/>
    <x v="1"/>
    <x v="6"/>
  </r>
  <r>
    <s v="A149"/>
    <s v="Sarah Miller"/>
    <x v="9"/>
    <x v="1"/>
    <d v="2023-07-26T00:00:00"/>
    <d v="1899-12-30T12:30:00"/>
    <s v="Follow-up"/>
    <x v="3"/>
    <n v="1874.86"/>
    <n v="1874.86"/>
    <x v="1"/>
    <x v="6"/>
  </r>
  <r>
    <s v="A164"/>
    <s v="Alex Taylor"/>
    <x v="4"/>
    <x v="0"/>
    <d v="2023-07-28T00:00:00"/>
    <d v="1899-12-30T17:15:00"/>
    <s v="Therapy"/>
    <x v="2"/>
    <n v="4406.26"/>
    <n v="4406.26"/>
    <x v="1"/>
    <x v="6"/>
  </r>
  <r>
    <s v="A109"/>
    <s v="David Wilson"/>
    <x v="7"/>
    <x v="0"/>
    <d v="2023-07-29T00:00:00"/>
    <d v="1899-12-30T14:00:00"/>
    <s v="Follow-up"/>
    <x v="1"/>
    <n v="3478.28"/>
    <n v="3478.28"/>
    <x v="2"/>
    <x v="6"/>
  </r>
  <r>
    <s v="A114"/>
    <s v="Laura Wilson"/>
    <x v="0"/>
    <x v="0"/>
    <d v="2023-08-08T00:00:00"/>
    <d v="1899-12-30T09:00:00"/>
    <s v="Therapy"/>
    <x v="3"/>
    <n v="3030.34"/>
    <n v="3030.34"/>
    <x v="2"/>
    <x v="7"/>
  </r>
  <r>
    <s v="A118"/>
    <s v="Sarah Brown"/>
    <x v="5"/>
    <x v="1"/>
    <d v="2023-08-09T00:00:00"/>
    <d v="1899-12-30T08:15:00"/>
    <s v="Consultation"/>
    <x v="1"/>
    <n v="1404.2"/>
    <n v="1404.2"/>
    <x v="1"/>
    <x v="7"/>
  </r>
  <r>
    <s v="A001"/>
    <s v="Alex Smith"/>
    <x v="8"/>
    <x v="1"/>
    <d v="2023-08-09T00:00:00"/>
    <d v="1899-12-30T15:15:00"/>
    <s v="Therapy"/>
    <x v="1"/>
    <n v="3941.97"/>
    <n v="3941.97"/>
    <x v="2"/>
    <x v="7"/>
  </r>
  <r>
    <s v="A067"/>
    <s v="Linda Brown"/>
    <x v="0"/>
    <x v="0"/>
    <d v="2023-08-10T00:00:00"/>
    <d v="1899-12-30T11:00:00"/>
    <s v="Follow-up"/>
    <x v="1"/>
    <n v="930.72"/>
    <n v="930.72"/>
    <x v="2"/>
    <x v="7"/>
  </r>
  <r>
    <s v="A105"/>
    <s v="Michael Taylor"/>
    <x v="5"/>
    <x v="1"/>
    <d v="2023-08-14T00:00:00"/>
    <d v="1899-12-30T16:00:00"/>
    <s v="Checkup"/>
    <x v="0"/>
    <n v="1959.5"/>
    <n v="1959.5"/>
    <x v="2"/>
    <x v="7"/>
  </r>
  <r>
    <s v="A050"/>
    <s v="Linda Miller"/>
    <x v="4"/>
    <x v="0"/>
    <d v="2023-08-16T00:00:00"/>
    <d v="1899-12-30T15:00:00"/>
    <s v="Consultation"/>
    <x v="0"/>
    <n v="4279.38"/>
    <n v="4279.38"/>
    <x v="1"/>
    <x v="7"/>
  </r>
  <r>
    <s v="A144"/>
    <s v="Laura Davis"/>
    <x v="2"/>
    <x v="1"/>
    <d v="2023-08-16T00:00:00"/>
    <d v="1899-12-30T12:15:00"/>
    <s v="Checkup"/>
    <x v="0"/>
    <n v="1684.01"/>
    <n v="1684.01"/>
    <x v="1"/>
    <x v="7"/>
  </r>
  <r>
    <s v="A150"/>
    <s v="Jane Moore"/>
    <x v="5"/>
    <x v="1"/>
    <d v="2023-08-16T00:00:00"/>
    <d v="1899-12-30T10:45:00"/>
    <s v="Therapy"/>
    <x v="3"/>
    <n v="2286.42"/>
    <n v="2286.42"/>
    <x v="0"/>
    <x v="7"/>
  </r>
  <r>
    <s v="A177"/>
    <s v="Robert Taylor"/>
    <x v="3"/>
    <x v="2"/>
    <d v="2023-08-16T00:00:00"/>
    <d v="1899-12-30T12:30:00"/>
    <s v="Therapy"/>
    <x v="2"/>
    <n v="4379.07"/>
    <n v="4379.07"/>
    <x v="2"/>
    <x v="7"/>
  </r>
  <r>
    <s v="A013"/>
    <s v="Laura Jones"/>
    <x v="9"/>
    <x v="1"/>
    <d v="2023-08-16T00:00:00"/>
    <d v="1899-12-30T12:00:00"/>
    <s v="Emergency"/>
    <x v="1"/>
    <n v="4704.96"/>
    <n v="4704.96"/>
    <x v="0"/>
    <x v="7"/>
  </r>
  <r>
    <s v="A195"/>
    <s v="Emily Miller"/>
    <x v="6"/>
    <x v="2"/>
    <d v="2023-08-19T00:00:00"/>
    <d v="1899-12-30T17:15:00"/>
    <s v="Checkup"/>
    <x v="1"/>
    <n v="2777.64"/>
    <n v="2777.64"/>
    <x v="1"/>
    <x v="7"/>
  </r>
  <r>
    <s v="A129"/>
    <s v="Emily Moore"/>
    <x v="2"/>
    <x v="1"/>
    <d v="2023-08-25T00:00:00"/>
    <d v="1899-12-30T09:30:00"/>
    <s v="Checkup"/>
    <x v="2"/>
    <n v="1185.8699999999999"/>
    <n v="1185.8699999999999"/>
    <x v="2"/>
    <x v="7"/>
  </r>
  <r>
    <s v="A070"/>
    <s v="Laura Jones"/>
    <x v="5"/>
    <x v="1"/>
    <d v="2023-08-26T00:00:00"/>
    <d v="1899-12-30T17:00:00"/>
    <s v="Follow-up"/>
    <x v="1"/>
    <n v="3231.92"/>
    <n v="3231.92"/>
    <x v="2"/>
    <x v="7"/>
  </r>
  <r>
    <s v="A030"/>
    <s v="John Taylor"/>
    <x v="7"/>
    <x v="0"/>
    <d v="2023-08-29T00:00:00"/>
    <d v="1899-12-30T13:15:00"/>
    <s v="Checkup"/>
    <x v="3"/>
    <n v="1316.47"/>
    <n v="1316.47"/>
    <x v="2"/>
    <x v="7"/>
  </r>
  <r>
    <s v="A192"/>
    <s v="David Smith"/>
    <x v="7"/>
    <x v="0"/>
    <d v="2023-08-31T00:00:00"/>
    <d v="1899-12-30T14:15:00"/>
    <s v="Consultation"/>
    <x v="2"/>
    <n v="4846.2"/>
    <n v="4846.2"/>
    <x v="0"/>
    <x v="7"/>
  </r>
  <r>
    <s v="A004"/>
    <s v="Robert Wilson"/>
    <x v="2"/>
    <x v="1"/>
    <d v="2023-09-01T00:00:00"/>
    <d v="1899-12-30T09:15:00"/>
    <s v="Consultation"/>
    <x v="2"/>
    <n v="4799.8599999999997"/>
    <n v="4799.8599999999997"/>
    <x v="1"/>
    <x v="8"/>
  </r>
  <r>
    <s v="A181"/>
    <s v="Michael Taylor"/>
    <x v="1"/>
    <x v="1"/>
    <d v="2023-09-03T00:00:00"/>
    <d v="1899-12-30T13:15:00"/>
    <s v="Emergency"/>
    <x v="3"/>
    <n v="3941.64"/>
    <n v="3941.64"/>
    <x v="1"/>
    <x v="8"/>
  </r>
  <r>
    <s v="A135"/>
    <s v="John Brown"/>
    <x v="7"/>
    <x v="0"/>
    <d v="2023-09-09T00:00:00"/>
    <d v="1899-12-30T16:30:00"/>
    <s v="Therapy"/>
    <x v="1"/>
    <n v="3306.14"/>
    <n v="3306.14"/>
    <x v="2"/>
    <x v="8"/>
  </r>
  <r>
    <s v="A193"/>
    <s v="Sarah Miller"/>
    <x v="7"/>
    <x v="0"/>
    <d v="2023-09-15T00:00:00"/>
    <d v="1899-12-30T08:15:00"/>
    <s v="Therapy"/>
    <x v="2"/>
    <n v="2446.2399999999998"/>
    <n v="2446.2399999999998"/>
    <x v="1"/>
    <x v="8"/>
  </r>
  <r>
    <s v="A078"/>
    <s v="Laura Johnson"/>
    <x v="4"/>
    <x v="0"/>
    <d v="2023-09-17T00:00:00"/>
    <d v="1899-12-30T11:15:00"/>
    <s v="Consultation"/>
    <x v="0"/>
    <n v="3628.15"/>
    <n v="3628.15"/>
    <x v="0"/>
    <x v="8"/>
  </r>
  <r>
    <s v="A044"/>
    <s v="Robert Miller"/>
    <x v="2"/>
    <x v="1"/>
    <d v="2023-09-20T00:00:00"/>
    <d v="1899-12-30T12:30:00"/>
    <s v="Follow-up"/>
    <x v="3"/>
    <n v="4186.3500000000004"/>
    <n v="4186.3500000000004"/>
    <x v="0"/>
    <x v="8"/>
  </r>
  <r>
    <s v="A101"/>
    <s v="Michael Wilson"/>
    <x v="0"/>
    <x v="0"/>
    <d v="2023-09-21T00:00:00"/>
    <d v="1899-12-30T13:15:00"/>
    <s v="Therapy"/>
    <x v="1"/>
    <n v="2930.05"/>
    <n v="2930.05"/>
    <x v="0"/>
    <x v="8"/>
  </r>
  <r>
    <s v="A143"/>
    <s v="Laura Davis"/>
    <x v="3"/>
    <x v="2"/>
    <d v="2023-09-21T00:00:00"/>
    <d v="1899-12-30T12:15:00"/>
    <s v="Checkup"/>
    <x v="2"/>
    <n v="1864.08"/>
    <n v="1864.08"/>
    <x v="1"/>
    <x v="8"/>
  </r>
  <r>
    <s v="A033"/>
    <s v="Michael Wilson"/>
    <x v="7"/>
    <x v="0"/>
    <d v="2023-09-23T00:00:00"/>
    <d v="1899-12-30T17:45:00"/>
    <s v="Therapy"/>
    <x v="0"/>
    <n v="980.95"/>
    <n v="980.95"/>
    <x v="0"/>
    <x v="8"/>
  </r>
  <r>
    <s v="A045"/>
    <s v="Michael Taylor"/>
    <x v="2"/>
    <x v="1"/>
    <d v="2023-09-28T00:00:00"/>
    <d v="1899-12-30T17:00:00"/>
    <s v="Emergency"/>
    <x v="1"/>
    <n v="4478.93"/>
    <n v="4478.93"/>
    <x v="0"/>
    <x v="8"/>
  </r>
  <r>
    <s v="A168"/>
    <s v="Linda Johnson"/>
    <x v="1"/>
    <x v="1"/>
    <d v="2023-09-29T00:00:00"/>
    <d v="1899-12-30T10:00:00"/>
    <s v="Consultation"/>
    <x v="0"/>
    <n v="864.14"/>
    <n v="864.14"/>
    <x v="1"/>
    <x v="8"/>
  </r>
  <r>
    <s v="A189"/>
    <s v="David Wilson"/>
    <x v="6"/>
    <x v="2"/>
    <d v="2023-10-05T00:00:00"/>
    <d v="1899-12-30T13:30:00"/>
    <s v="Follow-up"/>
    <x v="1"/>
    <n v="1108.25"/>
    <n v="1108.25"/>
    <x v="1"/>
    <x v="9"/>
  </r>
  <r>
    <s v="A055"/>
    <s v="Emily Smith"/>
    <x v="6"/>
    <x v="2"/>
    <d v="2023-10-06T00:00:00"/>
    <d v="1899-12-30T17:30:00"/>
    <s v="Checkup"/>
    <x v="1"/>
    <n v="1736.63"/>
    <n v="1736.63"/>
    <x v="1"/>
    <x v="9"/>
  </r>
  <r>
    <s v="A139"/>
    <s v="Michael Wilson"/>
    <x v="7"/>
    <x v="0"/>
    <d v="2023-10-10T00:00:00"/>
    <d v="1899-12-30T10:45:00"/>
    <s v="Therapy"/>
    <x v="0"/>
    <n v="4217.3"/>
    <n v="4217.3"/>
    <x v="2"/>
    <x v="9"/>
  </r>
  <r>
    <s v="A134"/>
    <s v="Robert Wilson"/>
    <x v="2"/>
    <x v="1"/>
    <d v="2023-10-17T00:00:00"/>
    <d v="1899-12-30T15:15:00"/>
    <s v="Consultation"/>
    <x v="1"/>
    <n v="2844.31"/>
    <n v="2844.31"/>
    <x v="1"/>
    <x v="9"/>
  </r>
  <r>
    <s v="A087"/>
    <s v="John Taylor"/>
    <x v="0"/>
    <x v="0"/>
    <d v="2023-10-19T00:00:00"/>
    <d v="1899-12-30T12:15:00"/>
    <s v="Follow-up"/>
    <x v="2"/>
    <n v="3102.74"/>
    <n v="3102.74"/>
    <x v="2"/>
    <x v="9"/>
  </r>
  <r>
    <s v="A175"/>
    <s v="Laura Davis"/>
    <x v="5"/>
    <x v="1"/>
    <d v="2023-10-22T00:00:00"/>
    <d v="1899-12-30T17:00:00"/>
    <s v="Consultation"/>
    <x v="2"/>
    <n v="4201.16"/>
    <n v="4201.16"/>
    <x v="0"/>
    <x v="9"/>
  </r>
  <r>
    <s v="A137"/>
    <s v="Sarah Miller"/>
    <x v="0"/>
    <x v="0"/>
    <d v="2023-10-25T00:00:00"/>
    <d v="1899-12-30T10:00:00"/>
    <s v="Emergency"/>
    <x v="0"/>
    <n v="3898.72"/>
    <n v="3898.72"/>
    <x v="2"/>
    <x v="9"/>
  </r>
  <r>
    <s v="A102"/>
    <s v="Robert Wilson"/>
    <x v="7"/>
    <x v="0"/>
    <d v="2023-10-25T00:00:00"/>
    <d v="1899-12-30T09:00:00"/>
    <s v="Checkup"/>
    <x v="0"/>
    <n v="4460.3599999999997"/>
    <n v="4460.3599999999997"/>
    <x v="2"/>
    <x v="9"/>
  </r>
  <r>
    <s v="A115"/>
    <s v="David Moore"/>
    <x v="7"/>
    <x v="0"/>
    <d v="2023-10-25T00:00:00"/>
    <d v="1899-12-30T10:30:00"/>
    <s v="Therapy"/>
    <x v="0"/>
    <n v="4809.3100000000004"/>
    <n v="4809.3100000000004"/>
    <x v="0"/>
    <x v="9"/>
  </r>
  <r>
    <s v="A196"/>
    <s v="Linda Miller"/>
    <x v="2"/>
    <x v="1"/>
    <d v="2023-10-26T00:00:00"/>
    <d v="1899-12-30T09:45:00"/>
    <s v="Checkup"/>
    <x v="2"/>
    <n v="2477.8000000000002"/>
    <n v="2477.8000000000002"/>
    <x v="2"/>
    <x v="9"/>
  </r>
  <r>
    <s v="A106"/>
    <s v="Robert Williams"/>
    <x v="7"/>
    <x v="0"/>
    <d v="2023-10-29T00:00:00"/>
    <d v="1899-12-30T11:15:00"/>
    <s v="Therapy"/>
    <x v="1"/>
    <n v="1998.51"/>
    <n v="1998.51"/>
    <x v="0"/>
    <x v="9"/>
  </r>
  <r>
    <s v="A086"/>
    <s v="Jane Jones"/>
    <x v="9"/>
    <x v="1"/>
    <d v="2023-10-29T00:00:00"/>
    <d v="1899-12-30T11:00:00"/>
    <s v="Consultation"/>
    <x v="2"/>
    <n v="3759.52"/>
    <n v="3759.52"/>
    <x v="2"/>
    <x v="9"/>
  </r>
  <r>
    <s v="A028"/>
    <s v="Laura Davis"/>
    <x v="2"/>
    <x v="1"/>
    <d v="2023-10-29T00:00:00"/>
    <d v="1899-12-30T15:30:00"/>
    <s v="Checkup"/>
    <x v="0"/>
    <n v="1315.17"/>
    <n v="1315.17"/>
    <x v="0"/>
    <x v="9"/>
  </r>
  <r>
    <s v="A174"/>
    <s v="Laura Davis"/>
    <x v="9"/>
    <x v="1"/>
    <d v="2023-10-31T00:00:00"/>
    <d v="1899-12-30T11:15:00"/>
    <s v="Follow-up"/>
    <x v="2"/>
    <n v="3384.37"/>
    <n v="3384.37"/>
    <x v="0"/>
    <x v="9"/>
  </r>
  <r>
    <s v="A142"/>
    <s v="Sarah Miller"/>
    <x v="5"/>
    <x v="1"/>
    <d v="2023-11-01T00:00:00"/>
    <d v="1899-12-30T11:45:00"/>
    <s v="Therapy"/>
    <x v="0"/>
    <n v="662.72"/>
    <n v="662.72"/>
    <x v="0"/>
    <x v="10"/>
  </r>
  <r>
    <s v="A126"/>
    <s v="Robert Wilson"/>
    <x v="6"/>
    <x v="2"/>
    <d v="2023-11-02T00:00:00"/>
    <d v="1899-12-30T09:45:00"/>
    <s v="Emergency"/>
    <x v="1"/>
    <n v="4672.3"/>
    <n v="4672.3"/>
    <x v="2"/>
    <x v="10"/>
  </r>
  <r>
    <s v="A032"/>
    <s v="Emily Miller"/>
    <x v="7"/>
    <x v="0"/>
    <d v="2023-11-06T00:00:00"/>
    <d v="1899-12-30T10:45:00"/>
    <s v="Checkup"/>
    <x v="1"/>
    <n v="3690.71"/>
    <n v="3690.71"/>
    <x v="0"/>
    <x v="10"/>
  </r>
  <r>
    <s v="A083"/>
    <s v="Laura Wilson"/>
    <x v="0"/>
    <x v="0"/>
    <d v="2023-11-07T00:00:00"/>
    <d v="1899-12-30T12:30:00"/>
    <s v="Emergency"/>
    <x v="3"/>
    <n v="4960.6499999999996"/>
    <n v="4960.6499999999996"/>
    <x v="2"/>
    <x v="10"/>
  </r>
  <r>
    <s v="A145"/>
    <s v="Alex Johnson"/>
    <x v="9"/>
    <x v="1"/>
    <d v="2023-11-11T00:00:00"/>
    <d v="1899-12-30T14:45:00"/>
    <s v="Checkup"/>
    <x v="1"/>
    <n v="2120.61"/>
    <n v="2120.61"/>
    <x v="0"/>
    <x v="10"/>
  </r>
  <r>
    <s v="A011"/>
    <s v="John Brown"/>
    <x v="3"/>
    <x v="2"/>
    <d v="2023-11-12T00:00:00"/>
    <d v="1899-12-30T16:00:00"/>
    <s v="Checkup"/>
    <x v="0"/>
    <n v="4671.66"/>
    <n v="4671.66"/>
    <x v="1"/>
    <x v="10"/>
  </r>
  <r>
    <s v="A147"/>
    <s v="Alex Taylor"/>
    <x v="9"/>
    <x v="1"/>
    <d v="2023-11-13T00:00:00"/>
    <d v="1899-12-30T17:30:00"/>
    <s v="Emergency"/>
    <x v="3"/>
    <n v="4716.3100000000004"/>
    <n v="4716.3100000000004"/>
    <x v="1"/>
    <x v="10"/>
  </r>
  <r>
    <s v="A127"/>
    <s v="David Wilson"/>
    <x v="6"/>
    <x v="2"/>
    <d v="2023-11-13T00:00:00"/>
    <d v="1899-12-30T08:30:00"/>
    <s v="Checkup"/>
    <x v="0"/>
    <n v="1555.89"/>
    <n v="1555.89"/>
    <x v="2"/>
    <x v="10"/>
  </r>
  <r>
    <s v="A022"/>
    <s v="David Wilson"/>
    <x v="0"/>
    <x v="0"/>
    <d v="2023-11-14T00:00:00"/>
    <d v="1899-12-30T13:00:00"/>
    <s v="Consultation"/>
    <x v="0"/>
    <n v="1900.88"/>
    <n v="1900.88"/>
    <x v="1"/>
    <x v="10"/>
  </r>
  <r>
    <s v="A027"/>
    <s v="David Wilson"/>
    <x v="7"/>
    <x v="0"/>
    <d v="2023-11-14T00:00:00"/>
    <d v="1899-12-30T12:45:00"/>
    <s v="Therapy"/>
    <x v="1"/>
    <n v="1048.49"/>
    <n v="1048.49"/>
    <x v="2"/>
    <x v="10"/>
  </r>
  <r>
    <s v="A018"/>
    <s v="John Brown"/>
    <x v="3"/>
    <x v="2"/>
    <d v="2023-11-14T00:00:00"/>
    <d v="1899-12-30T09:45:00"/>
    <s v="Consultation"/>
    <x v="2"/>
    <n v="1781.93"/>
    <n v="1781.93"/>
    <x v="2"/>
    <x v="10"/>
  </r>
  <r>
    <s v="A167"/>
    <s v="David Wilson"/>
    <x v="0"/>
    <x v="0"/>
    <d v="2023-11-15T00:00:00"/>
    <d v="1899-12-30T08:15:00"/>
    <s v="Follow-up"/>
    <x v="1"/>
    <n v="1871.06"/>
    <n v="1871.06"/>
    <x v="2"/>
    <x v="10"/>
  </r>
  <r>
    <s v="A190"/>
    <s v="David Smith"/>
    <x v="5"/>
    <x v="1"/>
    <d v="2023-11-16T00:00:00"/>
    <d v="1899-12-30T15:15:00"/>
    <s v="Checkup"/>
    <x v="1"/>
    <n v="4834.0200000000004"/>
    <n v="4834.0200000000004"/>
    <x v="0"/>
    <x v="10"/>
  </r>
  <r>
    <s v="A060"/>
    <s v="Jane Moore"/>
    <x v="9"/>
    <x v="1"/>
    <d v="2023-11-22T00:00:00"/>
    <d v="1899-12-30T17:15:00"/>
    <s v="Checkup"/>
    <x v="0"/>
    <n v="3307.37"/>
    <n v="3307.37"/>
    <x v="2"/>
    <x v="10"/>
  </r>
  <r>
    <s v="A156"/>
    <s v="Michael Wilson"/>
    <x v="4"/>
    <x v="0"/>
    <d v="2023-11-22T00:00:00"/>
    <d v="1899-12-30T14:30:00"/>
    <s v="Therapy"/>
    <x v="3"/>
    <n v="4964.71"/>
    <n v="4964.71"/>
    <x v="1"/>
    <x v="10"/>
  </r>
  <r>
    <s v="A113"/>
    <s v="Michael Wilson"/>
    <x v="5"/>
    <x v="1"/>
    <d v="2023-11-24T00:00:00"/>
    <d v="1899-12-30T15:30:00"/>
    <s v="Consultation"/>
    <x v="2"/>
    <n v="770.64"/>
    <n v="770.64"/>
    <x v="2"/>
    <x v="10"/>
  </r>
  <r>
    <s v="A076"/>
    <s v="Robert Taylor"/>
    <x v="9"/>
    <x v="1"/>
    <d v="2023-11-27T00:00:00"/>
    <d v="1899-12-30T12:00:00"/>
    <s v="Therapy"/>
    <x v="2"/>
    <n v="4945.03"/>
    <n v="4945.03"/>
    <x v="2"/>
    <x v="10"/>
  </r>
  <r>
    <s v="A020"/>
    <s v="Alex Taylor"/>
    <x v="5"/>
    <x v="1"/>
    <d v="2023-12-05T00:00:00"/>
    <d v="1899-12-30T15:15:00"/>
    <s v="Consultation"/>
    <x v="3"/>
    <n v="4113.62"/>
    <n v="4113.62"/>
    <x v="1"/>
    <x v="11"/>
  </r>
  <r>
    <s v="A148"/>
    <s v="Robert Miller"/>
    <x v="9"/>
    <x v="1"/>
    <d v="2023-12-06T00:00:00"/>
    <d v="1899-12-30T08:30:00"/>
    <s v="Consultation"/>
    <x v="1"/>
    <n v="2992.11"/>
    <n v="2992.11"/>
    <x v="0"/>
    <x v="11"/>
  </r>
  <r>
    <s v="A120"/>
    <s v="Alex Moore"/>
    <x v="0"/>
    <x v="0"/>
    <d v="2023-12-08T00:00:00"/>
    <d v="1899-12-30T11:00:00"/>
    <s v="Therapy"/>
    <x v="0"/>
    <n v="935.04"/>
    <n v="935.04"/>
    <x v="0"/>
    <x v="11"/>
  </r>
  <r>
    <s v="A077"/>
    <s v="David Smith"/>
    <x v="6"/>
    <x v="2"/>
    <d v="2023-12-14T00:00:00"/>
    <d v="1899-12-30T17:15:00"/>
    <s v="Checkup"/>
    <x v="3"/>
    <n v="1113.98"/>
    <n v="1113.98"/>
    <x v="0"/>
    <x v="11"/>
  </r>
  <r>
    <s v="A054"/>
    <s v="Michael Taylor"/>
    <x v="4"/>
    <x v="0"/>
    <d v="2023-12-16T00:00:00"/>
    <d v="1899-12-30T11:45:00"/>
    <s v="Follow-up"/>
    <x v="1"/>
    <n v="4012.36"/>
    <n v="4012.36"/>
    <x v="1"/>
    <x v="11"/>
  </r>
  <r>
    <s v="A160"/>
    <s v="Jane Wilson"/>
    <x v="0"/>
    <x v="0"/>
    <d v="2023-12-17T00:00:00"/>
    <d v="1899-12-30T12:45:00"/>
    <s v="Emergency"/>
    <x v="2"/>
    <n v="1023.65"/>
    <n v="1023.65"/>
    <x v="0"/>
    <x v="11"/>
  </r>
  <r>
    <s v="A119"/>
    <s v="Linda Johnson"/>
    <x v="1"/>
    <x v="1"/>
    <d v="2023-12-18T00:00:00"/>
    <d v="1899-12-30T13:30:00"/>
    <s v="Emergency"/>
    <x v="2"/>
    <n v="2911.22"/>
    <n v="2911.22"/>
    <x v="1"/>
    <x v="11"/>
  </r>
  <r>
    <s v="A046"/>
    <s v="Sarah Miller"/>
    <x v="5"/>
    <x v="1"/>
    <d v="2023-12-20T00:00:00"/>
    <d v="1899-12-30T13:15:00"/>
    <s v="Consultation"/>
    <x v="2"/>
    <n v="1526.36"/>
    <n v="1526.36"/>
    <x v="0"/>
    <x v="11"/>
  </r>
  <r>
    <s v="A073"/>
    <s v="Emily Williams"/>
    <x v="5"/>
    <x v="1"/>
    <d v="2023-12-24T00:00:00"/>
    <d v="1899-12-30T15:00:00"/>
    <s v="Follow-up"/>
    <x v="3"/>
    <n v="2259.08"/>
    <n v="2259.08"/>
    <x v="1"/>
    <x v="11"/>
  </r>
  <r>
    <s v="A079"/>
    <s v="Laura Davis"/>
    <x v="9"/>
    <x v="1"/>
    <d v="2023-12-26T00:00:00"/>
    <d v="1899-12-30T14:00:00"/>
    <s v="Follow-up"/>
    <x v="2"/>
    <n v="2319.4299999999998"/>
    <n v="2319.4299999999998"/>
    <x v="0"/>
    <x v="11"/>
  </r>
  <r>
    <s v="A138"/>
    <s v="David Moore"/>
    <x v="3"/>
    <x v="2"/>
    <d v="2023-12-26T00:00:00"/>
    <d v="1899-12-30T15:15:00"/>
    <s v="Follow-up"/>
    <x v="0"/>
    <n v="1074.71"/>
    <n v="1074.71"/>
    <x v="0"/>
    <x v="11"/>
  </r>
  <r>
    <s v="A200"/>
    <s v="Alex Johnson"/>
    <x v="7"/>
    <x v="0"/>
    <d v="2023-12-30T00:00:00"/>
    <d v="1899-12-30T10:15:00"/>
    <s v="Consultation"/>
    <x v="2"/>
    <n v="3288.15"/>
    <n v="3288.15"/>
    <x v="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BA1846-C1AE-473E-9C62-29DC96F81D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ppointment">
  <location ref="A3:B8" firstHeaderRow="1" firstDataRow="1" firstDataCol="1"/>
  <pivotFields count="12">
    <pivotField dataField="1" showAll="0"/>
    <pivotField showAll="0"/>
    <pivotField showAll="0"/>
    <pivotField showAll="0"/>
    <pivotField numFmtId="14" showAll="0"/>
    <pivotField numFmtId="21" showAll="0"/>
    <pivotField showAll="0"/>
    <pivotField axis="axisRow" showAll="0">
      <items count="5">
        <item x="2"/>
        <item x="3"/>
        <item x="0"/>
        <item x="1"/>
        <item t="default"/>
      </items>
    </pivotField>
    <pivotField showAll="0"/>
    <pivotField showAll="0"/>
    <pivotField showAll="0">
      <items count="4">
        <item x="1"/>
        <item x="0"/>
        <item x="2"/>
        <item t="default"/>
      </items>
    </pivotField>
    <pivotField showAll="0">
      <items count="13">
        <item x="0"/>
        <item x="1"/>
        <item x="2"/>
        <item x="3"/>
        <item x="4"/>
        <item x="5"/>
        <item x="6"/>
        <item x="7"/>
        <item x="8"/>
        <item x="9"/>
        <item x="10"/>
        <item x="11"/>
        <item t="default"/>
      </items>
    </pivotField>
  </pivotFields>
  <rowFields count="1">
    <field x="7"/>
  </rowFields>
  <rowItems count="5">
    <i>
      <x/>
    </i>
    <i>
      <x v="1"/>
    </i>
    <i>
      <x v="2"/>
    </i>
    <i>
      <x v="3"/>
    </i>
    <i t="grand">
      <x/>
    </i>
  </rowItems>
  <colItems count="1">
    <i/>
  </colItems>
  <dataFields count="1">
    <dataField name="Status of Appointment" fld="0" subtotal="count" baseField="0" baseItem="0"/>
  </dataFields>
  <chartFormats count="10">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0"/>
          </reference>
          <reference field="7" count="1" selected="0">
            <x v="3"/>
          </reference>
        </references>
      </pivotArea>
    </chartFormat>
    <chartFormat chart="8" format="21" series="1">
      <pivotArea type="data" outline="0" fieldPosition="0">
        <references count="1">
          <reference field="4294967294" count="1" selected="0">
            <x v="0"/>
          </reference>
        </references>
      </pivotArea>
    </chartFormat>
    <chartFormat chart="8" format="22">
      <pivotArea type="data" outline="0" fieldPosition="0">
        <references count="2">
          <reference field="4294967294" count="1" selected="0">
            <x v="0"/>
          </reference>
          <reference field="7" count="1" selected="0">
            <x v="0"/>
          </reference>
        </references>
      </pivotArea>
    </chartFormat>
    <chartFormat chart="8" format="23">
      <pivotArea type="data" outline="0" fieldPosition="0">
        <references count="2">
          <reference field="4294967294" count="1" selected="0">
            <x v="0"/>
          </reference>
          <reference field="7" count="1" selected="0">
            <x v="1"/>
          </reference>
        </references>
      </pivotArea>
    </chartFormat>
    <chartFormat chart="8" format="24">
      <pivotArea type="data" outline="0" fieldPosition="0">
        <references count="2">
          <reference field="4294967294" count="1" selected="0">
            <x v="0"/>
          </reference>
          <reference field="7" count="1" selected="0">
            <x v="2"/>
          </reference>
        </references>
      </pivotArea>
    </chartFormat>
    <chartFormat chart="8" format="25">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EF0FBF-0D0A-4FF8-BBD0-4553FFF692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pecialisation">
  <location ref="A3:B7" firstHeaderRow="1" firstDataRow="1" firstDataCol="1"/>
  <pivotFields count="12">
    <pivotField showAll="0"/>
    <pivotField showAll="0"/>
    <pivotField showAll="0"/>
    <pivotField axis="axisRow" showAll="0">
      <items count="4">
        <item x="0"/>
        <item x="2"/>
        <item x="1"/>
        <item t="default"/>
      </items>
    </pivotField>
    <pivotField numFmtId="14" showAll="0"/>
    <pivotField numFmtId="21" showAll="0"/>
    <pivotField showAll="0"/>
    <pivotField showAll="0">
      <items count="5">
        <item x="2"/>
        <item x="3"/>
        <item x="0"/>
        <item x="1"/>
        <item t="default"/>
      </items>
    </pivotField>
    <pivotField showAll="0"/>
    <pivotField dataField="1" showAll="0"/>
    <pivotField showAll="0">
      <items count="4">
        <item x="1"/>
        <item x="0"/>
        <item x="2"/>
        <item t="default"/>
      </items>
    </pivotField>
    <pivotField showAll="0">
      <items count="13">
        <item x="0"/>
        <item x="1"/>
        <item x="2"/>
        <item x="3"/>
        <item x="4"/>
        <item x="5"/>
        <item x="6"/>
        <item x="7"/>
        <item x="8"/>
        <item x="9"/>
        <item x="10"/>
        <item x="11"/>
        <item t="default"/>
      </items>
    </pivotField>
  </pivotFields>
  <rowFields count="1">
    <field x="3"/>
  </rowFields>
  <rowItems count="4">
    <i>
      <x/>
    </i>
    <i>
      <x v="1"/>
    </i>
    <i>
      <x v="2"/>
    </i>
    <i t="grand">
      <x/>
    </i>
  </rowItems>
  <colItems count="1">
    <i/>
  </colItems>
  <dataFields count="1">
    <dataField name="Revenue" fld="9"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1183CD-E002-48D5-8975-A2E68CFA248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octor">
  <location ref="A2:B13" firstHeaderRow="1" firstDataRow="1" firstDataCol="1"/>
  <pivotFields count="12">
    <pivotField dataField="1" showAll="0"/>
    <pivotField showAll="0"/>
    <pivotField axis="axisRow" showAll="0">
      <items count="11">
        <item x="2"/>
        <item x="1"/>
        <item x="0"/>
        <item x="9"/>
        <item x="5"/>
        <item x="4"/>
        <item x="6"/>
        <item x="3"/>
        <item x="8"/>
        <item x="7"/>
        <item t="default"/>
      </items>
    </pivotField>
    <pivotField showAll="0"/>
    <pivotField numFmtId="14" showAll="0"/>
    <pivotField numFmtId="21" showAll="0"/>
    <pivotField showAll="0"/>
    <pivotField showAll="0">
      <items count="5">
        <item x="2"/>
        <item x="3"/>
        <item x="0"/>
        <item x="1"/>
        <item t="default"/>
      </items>
    </pivotField>
    <pivotField showAll="0"/>
    <pivotField showAll="0"/>
    <pivotField showAll="0">
      <items count="4">
        <item x="1"/>
        <item x="0"/>
        <item x="2"/>
        <item t="default"/>
      </items>
    </pivotField>
    <pivotField showAll="0">
      <items count="13">
        <item x="0"/>
        <item x="1"/>
        <item x="2"/>
        <item x="3"/>
        <item x="4"/>
        <item x="5"/>
        <item x="6"/>
        <item x="7"/>
        <item x="8"/>
        <item x="9"/>
        <item x="10"/>
        <item x="11"/>
        <item t="default"/>
      </items>
    </pivotField>
  </pivotFields>
  <rowFields count="1">
    <field x="2"/>
  </rowFields>
  <rowItems count="11">
    <i>
      <x/>
    </i>
    <i>
      <x v="1"/>
    </i>
    <i>
      <x v="2"/>
    </i>
    <i>
      <x v="3"/>
    </i>
    <i>
      <x v="4"/>
    </i>
    <i>
      <x v="5"/>
    </i>
    <i>
      <x v="6"/>
    </i>
    <i>
      <x v="7"/>
    </i>
    <i>
      <x v="8"/>
    </i>
    <i>
      <x v="9"/>
    </i>
    <i t="grand">
      <x/>
    </i>
  </rowItems>
  <colItems count="1">
    <i/>
  </colItems>
  <dataFields count="1">
    <dataField name="Patient visit" fld="0" subtotal="count"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580632-1710-4CFA-B17B-0D82306B95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A2:B15" firstHeaderRow="1" firstDataRow="1" firstDataCol="1"/>
  <pivotFields count="12">
    <pivotField dataField="1" showAll="0"/>
    <pivotField showAll="0"/>
    <pivotField showAll="0"/>
    <pivotField showAll="0"/>
    <pivotField numFmtId="14" showAll="0"/>
    <pivotField numFmtId="21" showAll="0"/>
    <pivotField showAll="0"/>
    <pivotField showAll="0">
      <items count="5">
        <item x="2"/>
        <item x="3"/>
        <item x="0"/>
        <item x="1"/>
        <item t="default"/>
      </items>
    </pivotField>
    <pivotField showAll="0"/>
    <pivotField showAll="0"/>
    <pivotField showAll="0">
      <items count="4">
        <item x="1"/>
        <item x="0"/>
        <item x="2"/>
        <item t="default"/>
      </items>
    </pivotField>
    <pivotField axis="axisRow" showAll="0">
      <items count="13">
        <item x="0"/>
        <item x="1"/>
        <item x="2"/>
        <item x="3"/>
        <item x="4"/>
        <item x="5"/>
        <item x="6"/>
        <item x="7"/>
        <item x="8"/>
        <item x="9"/>
        <item x="10"/>
        <item x="11"/>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Number of Appointments"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462C7A-C806-4C39-B21B-965FFC2A3F1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atus">
  <location ref="A2:B6" firstHeaderRow="1" firstDataRow="1" firstDataCol="1"/>
  <pivotFields count="12">
    <pivotField showAll="0"/>
    <pivotField showAll="0"/>
    <pivotField showAll="0"/>
    <pivotField showAll="0"/>
    <pivotField numFmtId="164" showAll="0"/>
    <pivotField numFmtId="21" showAll="0"/>
    <pivotField showAll="0"/>
    <pivotField showAll="0">
      <items count="5">
        <item x="2"/>
        <item x="3"/>
        <item x="0"/>
        <item x="1"/>
        <item t="default"/>
      </items>
    </pivotField>
    <pivotField showAll="0"/>
    <pivotField dataField="1" showAll="0"/>
    <pivotField axis="axisRow" showAll="0">
      <items count="4">
        <item x="1"/>
        <item x="0"/>
        <item x="2"/>
        <item t="default"/>
      </items>
    </pivotField>
    <pivotField showAll="0">
      <items count="13">
        <item x="0"/>
        <item x="1"/>
        <item x="2"/>
        <item x="3"/>
        <item x="4"/>
        <item x="5"/>
        <item x="6"/>
        <item x="7"/>
        <item x="8"/>
        <item x="9"/>
        <item x="10"/>
        <item x="11"/>
        <item t="default"/>
      </items>
    </pivotField>
  </pivotFields>
  <rowFields count="1">
    <field x="10"/>
  </rowFields>
  <rowItems count="4">
    <i>
      <x/>
    </i>
    <i>
      <x v="1"/>
    </i>
    <i>
      <x v="2"/>
    </i>
    <i t="grand">
      <x/>
    </i>
  </rowItems>
  <colItems count="1">
    <i/>
  </colItems>
  <dataFields count="1">
    <dataField name="Number of Payments" fld="9" subtotal="count" baseField="1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0" count="1" selected="0">
            <x v="0"/>
          </reference>
        </references>
      </pivotArea>
    </chartFormat>
    <chartFormat chart="4" format="10">
      <pivotArea type="data" outline="0" fieldPosition="0">
        <references count="2">
          <reference field="4294967294" count="1" selected="0">
            <x v="0"/>
          </reference>
          <reference field="10" count="1" selected="0">
            <x v="1"/>
          </reference>
        </references>
      </pivotArea>
    </chartFormat>
    <chartFormat chart="4"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5098877-DDB0-4599-872D-AD0EF5B020DA}" sourceName="Month">
  <pivotTables>
    <pivotTable tabId="4" name="PivotTable3"/>
    <pivotTable tabId="2" name="PivotTable2"/>
    <pivotTable tabId="5" name="PivotTable5"/>
    <pivotTable tabId="6" name="PivotTable6"/>
    <pivotTable tabId="7" name="PivotTable7"/>
  </pivotTables>
  <data>
    <tabular pivotCacheId="617988294">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8DB6762-9FB6-43FC-AD54-C7B17C01B0ED}" sourceName="status">
  <pivotTables>
    <pivotTable tabId="6" name="PivotTable6"/>
    <pivotTable tabId="2" name="PivotTable2"/>
    <pivotTable tabId="5" name="PivotTable5"/>
    <pivotTable tabId="7" name="PivotTable7"/>
    <pivotTable tabId="4" name="PivotTable3"/>
  </pivotTables>
  <data>
    <tabular pivotCacheId="61798829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B5D0234D-D0B5-4D15-A188-548246317EB6}" sourceName="payment_status">
  <pivotTables>
    <pivotTable tabId="7" name="PivotTable7"/>
    <pivotTable tabId="2" name="PivotTable2"/>
    <pivotTable tabId="5" name="PivotTable5"/>
    <pivotTable tabId="6" name="PivotTable6"/>
    <pivotTable tabId="4" name="PivotTable3"/>
  </pivotTables>
  <data>
    <tabular pivotCacheId="61798829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3CBE659-D350-4BA7-83B0-C31FB69FD1A1}" cache="Slicer_Month" caption="Month" rowHeight="234950"/>
  <slicer name="status" xr10:uid="{B1E69B71-F7BF-4859-828A-0781FBC0D9CD}" cache="Slicer_status" caption="status" rowHeight="234950"/>
  <slicer name="payment_status" xr10:uid="{C769F5C6-432C-4996-BB1A-87BD1F4EEDCB}" cache="Slicer_payment_status" caption="payment_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D355FD-6470-4956-B0BD-E429E48D4251}" name="Table2" displayName="Table2" ref="A1:L201" totalsRowShown="0" headerRowDxfId="3">
  <autoFilter ref="A1:L201" xr:uid="{2BD355FD-6470-4956-B0BD-E429E48D4251}"/>
  <tableColumns count="12">
    <tableColumn id="1" xr3:uid="{D5763074-AC40-41F9-BF24-C1AF9AC2CE96}" name="appointment_id"/>
    <tableColumn id="2" xr3:uid="{08A42002-E0C8-4865-B043-F1503FAE417D}" name="patient_name"/>
    <tableColumn id="3" xr3:uid="{99B5F917-0BB9-4D0D-845B-2EBE096788F7}" name="doctor_name"/>
    <tableColumn id="4" xr3:uid="{769E4FA7-5E3F-48B6-88FD-98C183196959}" name="specialization"/>
    <tableColumn id="5" xr3:uid="{353EE6E8-4C93-41C1-B5CA-BFE7339E1698}" name="appointment_date" dataDxfId="2"/>
    <tableColumn id="6" xr3:uid="{912B5C11-72E7-4BFC-8640-F65C7D671B79}" name="appointment_time" dataDxfId="1"/>
    <tableColumn id="7" xr3:uid="{D9C9C49C-F59D-4E5E-93B0-EA3D0C871F9E}" name="reason_for_visit"/>
    <tableColumn id="8" xr3:uid="{CBADCC27-A1E2-44BE-BAA1-2A987FF160B9}" name="status"/>
    <tableColumn id="9" xr3:uid="{F664E41A-211E-44BD-A037-93C93CDF0FEE}" name="treatment_cost"/>
    <tableColumn id="10" xr3:uid="{02C6850E-4708-43A7-B1C0-34E69814652A}" name="billed_amount"/>
    <tableColumn id="11" xr3:uid="{C7C6C530-0BA1-49A9-B165-D5FB7A22B5E2}" name="payment_status"/>
    <tableColumn id="12" xr3:uid="{A4447219-F34E-4055-946A-FE4F40DFEB61}" name="Month" dataDxfId="0">
      <calculatedColumnFormula>TEXT(Table2[[#This Row],[appointment_date]],"mmmm")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4F5C7-EC2C-4DC1-83EA-E1AEA3929AB3}">
  <dimension ref="A1:L201"/>
  <sheetViews>
    <sheetView topLeftCell="A2" workbookViewId="0">
      <selection activeCell="M191" sqref="M191"/>
    </sheetView>
  </sheetViews>
  <sheetFormatPr defaultRowHeight="14.4" x14ac:dyDescent="0.3"/>
  <cols>
    <col min="1" max="1" width="18" customWidth="1"/>
    <col min="2" max="2" width="16" customWidth="1"/>
    <col min="3" max="3" width="15.33203125" customWidth="1"/>
    <col min="4" max="4" width="15.5546875" customWidth="1"/>
    <col min="5" max="6" width="20.44140625" customWidth="1"/>
    <col min="7" max="7" width="17.88671875" customWidth="1"/>
    <col min="8" max="8" width="9.88671875" bestFit="1" customWidth="1"/>
    <col min="9" max="9" width="17.21875" customWidth="1"/>
    <col min="10" max="10" width="16.5546875" customWidth="1"/>
    <col min="11" max="11" width="17.88671875" customWidth="1"/>
    <col min="12" max="12" width="8.88671875" customWidth="1"/>
  </cols>
  <sheetData>
    <row r="1" spans="1:12" ht="15.6" x14ac:dyDescent="0.3">
      <c r="A1" s="2" t="s">
        <v>0</v>
      </c>
      <c r="B1" s="2" t="s">
        <v>1</v>
      </c>
      <c r="C1" s="2" t="s">
        <v>2</v>
      </c>
      <c r="D1" s="2" t="s">
        <v>3</v>
      </c>
      <c r="E1" s="2" t="s">
        <v>4</v>
      </c>
      <c r="F1" s="2" t="s">
        <v>5</v>
      </c>
      <c r="G1" s="2" t="s">
        <v>6</v>
      </c>
      <c r="H1" s="2" t="s">
        <v>7</v>
      </c>
      <c r="I1" s="2" t="s">
        <v>8</v>
      </c>
      <c r="J1" s="2" t="s">
        <v>9</v>
      </c>
      <c r="K1" s="2" t="s">
        <v>10</v>
      </c>
      <c r="L1" s="2" t="s">
        <v>278</v>
      </c>
    </row>
    <row r="2" spans="1:12" x14ac:dyDescent="0.3">
      <c r="A2" t="s">
        <v>11</v>
      </c>
      <c r="B2" t="s">
        <v>12</v>
      </c>
      <c r="C2" t="s">
        <v>13</v>
      </c>
      <c r="D2" t="s">
        <v>14</v>
      </c>
      <c r="E2" s="5">
        <v>44927</v>
      </c>
      <c r="F2" s="1">
        <v>0.58333333333333337</v>
      </c>
      <c r="G2" t="s">
        <v>15</v>
      </c>
      <c r="H2" t="s">
        <v>16</v>
      </c>
      <c r="I2">
        <v>3349.18</v>
      </c>
      <c r="J2">
        <v>3349.18</v>
      </c>
      <c r="K2" t="s">
        <v>17</v>
      </c>
      <c r="L2" t="str">
        <f>TEXT(Table2[[#This Row],[appointment_date]],"mmmm")</f>
        <v>January</v>
      </c>
    </row>
    <row r="3" spans="1:12" x14ac:dyDescent="0.3">
      <c r="A3" t="s">
        <v>18</v>
      </c>
      <c r="B3" t="s">
        <v>19</v>
      </c>
      <c r="C3" t="s">
        <v>20</v>
      </c>
      <c r="D3" t="s">
        <v>21</v>
      </c>
      <c r="E3" s="5">
        <v>44927</v>
      </c>
      <c r="F3" s="1">
        <v>0.71875</v>
      </c>
      <c r="G3" t="s">
        <v>15</v>
      </c>
      <c r="H3" t="s">
        <v>16</v>
      </c>
      <c r="I3">
        <v>2212.8000000000002</v>
      </c>
      <c r="J3">
        <v>2212.8000000000002</v>
      </c>
      <c r="K3" t="s">
        <v>17</v>
      </c>
      <c r="L3" t="str">
        <f>TEXT(Table2[[#This Row],[appointment_date]],"mmmm")</f>
        <v>January</v>
      </c>
    </row>
    <row r="4" spans="1:12" x14ac:dyDescent="0.3">
      <c r="A4" t="s">
        <v>22</v>
      </c>
      <c r="B4" t="s">
        <v>23</v>
      </c>
      <c r="C4" t="s">
        <v>20</v>
      </c>
      <c r="D4" t="s">
        <v>21</v>
      </c>
      <c r="E4" s="5">
        <v>44928</v>
      </c>
      <c r="F4" s="1">
        <v>0.53125</v>
      </c>
      <c r="G4" t="s">
        <v>24</v>
      </c>
      <c r="H4" t="s">
        <v>25</v>
      </c>
      <c r="I4">
        <v>4201.76</v>
      </c>
      <c r="J4">
        <v>4201.76</v>
      </c>
      <c r="K4" t="s">
        <v>17</v>
      </c>
      <c r="L4" t="str">
        <f>TEXT(Table2[[#This Row],[appointment_date]],"mmmm")</f>
        <v>January</v>
      </c>
    </row>
    <row r="5" spans="1:12" x14ac:dyDescent="0.3">
      <c r="A5" t="s">
        <v>26</v>
      </c>
      <c r="B5" t="s">
        <v>27</v>
      </c>
      <c r="C5" t="s">
        <v>13</v>
      </c>
      <c r="D5" t="s">
        <v>14</v>
      </c>
      <c r="E5" s="5">
        <v>44929</v>
      </c>
      <c r="F5" s="1">
        <v>0.39583333333333331</v>
      </c>
      <c r="G5" t="s">
        <v>28</v>
      </c>
      <c r="H5" t="s">
        <v>29</v>
      </c>
      <c r="I5">
        <v>2736.34</v>
      </c>
      <c r="J5">
        <v>2736.34</v>
      </c>
      <c r="K5" t="s">
        <v>30</v>
      </c>
      <c r="L5" t="str">
        <f>TEXT(Table2[[#This Row],[appointment_date]],"mmmm")</f>
        <v>January</v>
      </c>
    </row>
    <row r="6" spans="1:12" x14ac:dyDescent="0.3">
      <c r="A6" t="s">
        <v>31</v>
      </c>
      <c r="B6" t="s">
        <v>32</v>
      </c>
      <c r="C6" t="s">
        <v>33</v>
      </c>
      <c r="D6" t="s">
        <v>21</v>
      </c>
      <c r="E6" s="5">
        <v>44931</v>
      </c>
      <c r="F6" s="1">
        <v>0.39583333333333331</v>
      </c>
      <c r="G6" t="s">
        <v>15</v>
      </c>
      <c r="H6" t="s">
        <v>16</v>
      </c>
      <c r="I6">
        <v>894.39</v>
      </c>
      <c r="J6">
        <v>894.39</v>
      </c>
      <c r="K6" t="s">
        <v>34</v>
      </c>
      <c r="L6" t="str">
        <f>TEXT(Table2[[#This Row],[appointment_date]],"mmmm")</f>
        <v>January</v>
      </c>
    </row>
    <row r="7" spans="1:12" x14ac:dyDescent="0.3">
      <c r="A7" t="s">
        <v>35</v>
      </c>
      <c r="B7" t="s">
        <v>36</v>
      </c>
      <c r="C7" t="s">
        <v>37</v>
      </c>
      <c r="D7" t="s">
        <v>38</v>
      </c>
      <c r="E7" s="5">
        <v>44932</v>
      </c>
      <c r="F7" s="1">
        <v>0.5625</v>
      </c>
      <c r="G7" t="s">
        <v>39</v>
      </c>
      <c r="H7" t="s">
        <v>29</v>
      </c>
      <c r="I7">
        <v>3729.19</v>
      </c>
      <c r="J7">
        <v>3729.19</v>
      </c>
      <c r="K7" t="s">
        <v>34</v>
      </c>
      <c r="L7" t="str">
        <f>TEXT(Table2[[#This Row],[appointment_date]],"mmmm")</f>
        <v>January</v>
      </c>
    </row>
    <row r="8" spans="1:12" x14ac:dyDescent="0.3">
      <c r="A8" t="s">
        <v>40</v>
      </c>
      <c r="B8" t="s">
        <v>41</v>
      </c>
      <c r="C8" t="s">
        <v>42</v>
      </c>
      <c r="D8" t="s">
        <v>14</v>
      </c>
      <c r="E8" s="5">
        <v>44933</v>
      </c>
      <c r="F8" s="1">
        <v>0.45833333333333331</v>
      </c>
      <c r="G8" t="s">
        <v>28</v>
      </c>
      <c r="H8" t="s">
        <v>29</v>
      </c>
      <c r="I8">
        <v>3228.14</v>
      </c>
      <c r="J8">
        <v>3228.14</v>
      </c>
      <c r="K8" t="s">
        <v>17</v>
      </c>
      <c r="L8" t="str">
        <f>TEXT(Table2[[#This Row],[appointment_date]],"mmmm")</f>
        <v>January</v>
      </c>
    </row>
    <row r="9" spans="1:12" x14ac:dyDescent="0.3">
      <c r="A9" t="s">
        <v>43</v>
      </c>
      <c r="B9" t="s">
        <v>44</v>
      </c>
      <c r="C9" t="s">
        <v>19</v>
      </c>
      <c r="D9" t="s">
        <v>21</v>
      </c>
      <c r="E9" s="5">
        <v>44934</v>
      </c>
      <c r="F9" s="1">
        <v>0.60416666666666663</v>
      </c>
      <c r="G9" t="s">
        <v>24</v>
      </c>
      <c r="H9" t="s">
        <v>16</v>
      </c>
      <c r="I9">
        <v>4833.17</v>
      </c>
      <c r="J9">
        <v>4833.17</v>
      </c>
      <c r="K9" t="s">
        <v>34</v>
      </c>
      <c r="L9" t="str">
        <f>TEXT(Table2[[#This Row],[appointment_date]],"mmmm")</f>
        <v>January</v>
      </c>
    </row>
    <row r="10" spans="1:12" x14ac:dyDescent="0.3">
      <c r="A10" t="s">
        <v>45</v>
      </c>
      <c r="B10" t="s">
        <v>46</v>
      </c>
      <c r="C10" t="s">
        <v>47</v>
      </c>
      <c r="D10" t="s">
        <v>38</v>
      </c>
      <c r="E10" s="5">
        <v>44937</v>
      </c>
      <c r="F10" s="1">
        <v>0.33333333333333331</v>
      </c>
      <c r="G10" t="s">
        <v>48</v>
      </c>
      <c r="H10" t="s">
        <v>16</v>
      </c>
      <c r="I10">
        <v>2593.4299999999998</v>
      </c>
      <c r="J10">
        <v>2593.4299999999998</v>
      </c>
      <c r="K10" t="s">
        <v>34</v>
      </c>
      <c r="L10" t="str">
        <f>TEXT(Table2[[#This Row],[appointment_date]],"mmmm")</f>
        <v>January</v>
      </c>
    </row>
    <row r="11" spans="1:12" x14ac:dyDescent="0.3">
      <c r="A11" t="s">
        <v>49</v>
      </c>
      <c r="B11" t="s">
        <v>12</v>
      </c>
      <c r="C11" t="s">
        <v>47</v>
      </c>
      <c r="D11" t="s">
        <v>38</v>
      </c>
      <c r="E11" s="5">
        <v>44938</v>
      </c>
      <c r="F11" s="1">
        <v>0.61458333333333337</v>
      </c>
      <c r="G11" t="s">
        <v>39</v>
      </c>
      <c r="H11" t="s">
        <v>16</v>
      </c>
      <c r="I11">
        <v>4055.14</v>
      </c>
      <c r="J11">
        <v>4055.14</v>
      </c>
      <c r="K11" t="s">
        <v>30</v>
      </c>
      <c r="L11" t="str">
        <f>TEXT(Table2[[#This Row],[appointment_date]],"mmmm")</f>
        <v>January</v>
      </c>
    </row>
    <row r="12" spans="1:12" x14ac:dyDescent="0.3">
      <c r="A12" t="s">
        <v>50</v>
      </c>
      <c r="B12" t="s">
        <v>12</v>
      </c>
      <c r="C12" t="s">
        <v>19</v>
      </c>
      <c r="D12" t="s">
        <v>21</v>
      </c>
      <c r="E12" s="5">
        <v>44939</v>
      </c>
      <c r="F12" s="1">
        <v>0.64583333333333337</v>
      </c>
      <c r="G12" t="s">
        <v>39</v>
      </c>
      <c r="H12" t="s">
        <v>51</v>
      </c>
      <c r="I12">
        <v>1595.67</v>
      </c>
      <c r="J12">
        <v>1595.67</v>
      </c>
      <c r="K12" t="s">
        <v>17</v>
      </c>
      <c r="L12" t="str">
        <f>TEXT(Table2[[#This Row],[appointment_date]],"mmmm")</f>
        <v>January</v>
      </c>
    </row>
    <row r="13" spans="1:12" x14ac:dyDescent="0.3">
      <c r="A13" t="s">
        <v>52</v>
      </c>
      <c r="B13" t="s">
        <v>53</v>
      </c>
      <c r="C13" t="s">
        <v>54</v>
      </c>
      <c r="D13" t="s">
        <v>14</v>
      </c>
      <c r="E13" s="5">
        <v>44941</v>
      </c>
      <c r="F13" s="1">
        <v>0.70833333333333337</v>
      </c>
      <c r="G13" t="s">
        <v>39</v>
      </c>
      <c r="H13" t="s">
        <v>16</v>
      </c>
      <c r="I13">
        <v>2532.9499999999998</v>
      </c>
      <c r="J13">
        <v>2532.9499999999998</v>
      </c>
      <c r="K13" t="s">
        <v>17</v>
      </c>
      <c r="L13" t="str">
        <f>TEXT(Table2[[#This Row],[appointment_date]],"mmmm")</f>
        <v>January</v>
      </c>
    </row>
    <row r="14" spans="1:12" x14ac:dyDescent="0.3">
      <c r="A14" t="s">
        <v>55</v>
      </c>
      <c r="B14" t="s">
        <v>56</v>
      </c>
      <c r="C14" t="s">
        <v>20</v>
      </c>
      <c r="D14" t="s">
        <v>21</v>
      </c>
      <c r="E14" s="5">
        <v>44941</v>
      </c>
      <c r="F14" s="1">
        <v>0.71875</v>
      </c>
      <c r="G14" t="s">
        <v>28</v>
      </c>
      <c r="H14" t="s">
        <v>16</v>
      </c>
      <c r="I14">
        <v>956.39</v>
      </c>
      <c r="J14">
        <v>956.39</v>
      </c>
      <c r="K14" t="s">
        <v>34</v>
      </c>
      <c r="L14" t="str">
        <f>TEXT(Table2[[#This Row],[appointment_date]],"mmmm")</f>
        <v>January</v>
      </c>
    </row>
    <row r="15" spans="1:12" x14ac:dyDescent="0.3">
      <c r="A15" t="s">
        <v>57</v>
      </c>
      <c r="B15" t="s">
        <v>58</v>
      </c>
      <c r="C15" t="s">
        <v>59</v>
      </c>
      <c r="D15" t="s">
        <v>21</v>
      </c>
      <c r="E15" s="5">
        <v>44942</v>
      </c>
      <c r="F15" s="1">
        <v>0.65625</v>
      </c>
      <c r="G15" t="s">
        <v>15</v>
      </c>
      <c r="H15" t="s">
        <v>29</v>
      </c>
      <c r="I15">
        <v>3249.41</v>
      </c>
      <c r="J15">
        <v>3249.41</v>
      </c>
      <c r="K15" t="s">
        <v>30</v>
      </c>
      <c r="L15" t="str">
        <f>TEXT(Table2[[#This Row],[appointment_date]],"mmmm")</f>
        <v>January</v>
      </c>
    </row>
    <row r="16" spans="1:12" x14ac:dyDescent="0.3">
      <c r="A16" t="s">
        <v>60</v>
      </c>
      <c r="B16" t="s">
        <v>61</v>
      </c>
      <c r="C16" t="s">
        <v>37</v>
      </c>
      <c r="D16" t="s">
        <v>38</v>
      </c>
      <c r="E16" s="5">
        <v>44943</v>
      </c>
      <c r="F16" s="1">
        <v>0.55208333333333337</v>
      </c>
      <c r="G16" t="s">
        <v>24</v>
      </c>
      <c r="H16" t="s">
        <v>29</v>
      </c>
      <c r="I16">
        <v>4652.41</v>
      </c>
      <c r="J16">
        <v>4652.41</v>
      </c>
      <c r="K16" t="s">
        <v>34</v>
      </c>
      <c r="L16" t="str">
        <f>TEXT(Table2[[#This Row],[appointment_date]],"mmmm")</f>
        <v>January</v>
      </c>
    </row>
    <row r="17" spans="1:12" x14ac:dyDescent="0.3">
      <c r="A17" t="s">
        <v>62</v>
      </c>
      <c r="B17" t="s">
        <v>63</v>
      </c>
      <c r="C17" t="s">
        <v>42</v>
      </c>
      <c r="D17" t="s">
        <v>14</v>
      </c>
      <c r="E17" s="5">
        <v>44946</v>
      </c>
      <c r="F17" s="1">
        <v>0.44791666666666669</v>
      </c>
      <c r="G17" t="s">
        <v>48</v>
      </c>
      <c r="H17" t="s">
        <v>25</v>
      </c>
      <c r="I17">
        <v>3615.96</v>
      </c>
      <c r="J17">
        <v>3615.96</v>
      </c>
      <c r="K17" t="s">
        <v>34</v>
      </c>
      <c r="L17" t="str">
        <f>TEXT(Table2[[#This Row],[appointment_date]],"mmmm")</f>
        <v>January</v>
      </c>
    </row>
    <row r="18" spans="1:12" x14ac:dyDescent="0.3">
      <c r="A18" t="s">
        <v>64</v>
      </c>
      <c r="B18" t="s">
        <v>44</v>
      </c>
      <c r="C18" t="s">
        <v>54</v>
      </c>
      <c r="D18" t="s">
        <v>14</v>
      </c>
      <c r="E18" s="5">
        <v>44950</v>
      </c>
      <c r="F18" s="1">
        <v>0.35416666666666669</v>
      </c>
      <c r="G18" t="s">
        <v>39</v>
      </c>
      <c r="H18" t="s">
        <v>29</v>
      </c>
      <c r="I18">
        <v>3428.95</v>
      </c>
      <c r="J18">
        <v>3428.95</v>
      </c>
      <c r="K18" t="s">
        <v>34</v>
      </c>
      <c r="L18" t="str">
        <f>TEXT(Table2[[#This Row],[appointment_date]],"mmmm")</f>
        <v>January</v>
      </c>
    </row>
    <row r="19" spans="1:12" x14ac:dyDescent="0.3">
      <c r="A19" t="s">
        <v>65</v>
      </c>
      <c r="B19" t="s">
        <v>58</v>
      </c>
      <c r="C19" t="s">
        <v>33</v>
      </c>
      <c r="D19" t="s">
        <v>21</v>
      </c>
      <c r="E19" s="5">
        <v>44952</v>
      </c>
      <c r="F19" s="1">
        <v>0.70833333333333337</v>
      </c>
      <c r="G19" t="s">
        <v>48</v>
      </c>
      <c r="H19" t="s">
        <v>25</v>
      </c>
      <c r="I19">
        <v>2960.14</v>
      </c>
      <c r="J19">
        <v>2960.14</v>
      </c>
      <c r="K19" t="s">
        <v>17</v>
      </c>
      <c r="L19" t="str">
        <f>TEXT(Table2[[#This Row],[appointment_date]],"mmmm")</f>
        <v>January</v>
      </c>
    </row>
    <row r="20" spans="1:12" x14ac:dyDescent="0.3">
      <c r="A20" t="s">
        <v>66</v>
      </c>
      <c r="B20" t="s">
        <v>36</v>
      </c>
      <c r="C20" t="s">
        <v>67</v>
      </c>
      <c r="D20" t="s">
        <v>21</v>
      </c>
      <c r="E20" s="5">
        <v>44954</v>
      </c>
      <c r="F20" s="1">
        <v>0.38541666666666669</v>
      </c>
      <c r="G20" t="s">
        <v>39</v>
      </c>
      <c r="H20" t="s">
        <v>25</v>
      </c>
      <c r="I20">
        <v>2512.41</v>
      </c>
      <c r="J20">
        <v>2512.41</v>
      </c>
      <c r="K20" t="s">
        <v>34</v>
      </c>
      <c r="L20" t="str">
        <f>TEXT(Table2[[#This Row],[appointment_date]],"mmmm")</f>
        <v>January</v>
      </c>
    </row>
    <row r="21" spans="1:12" x14ac:dyDescent="0.3">
      <c r="A21" t="s">
        <v>68</v>
      </c>
      <c r="B21" t="s">
        <v>56</v>
      </c>
      <c r="C21" t="s">
        <v>13</v>
      </c>
      <c r="D21" t="s">
        <v>14</v>
      </c>
      <c r="E21" s="5">
        <v>44956</v>
      </c>
      <c r="F21" s="1">
        <v>0.59375</v>
      </c>
      <c r="G21" t="s">
        <v>39</v>
      </c>
      <c r="H21" t="s">
        <v>25</v>
      </c>
      <c r="I21">
        <v>1363.4</v>
      </c>
      <c r="J21">
        <v>1363.4</v>
      </c>
      <c r="K21" t="s">
        <v>30</v>
      </c>
      <c r="L21" t="str">
        <f>TEXT(Table2[[#This Row],[appointment_date]],"mmmm")</f>
        <v>January</v>
      </c>
    </row>
    <row r="22" spans="1:12" x14ac:dyDescent="0.3">
      <c r="A22" t="s">
        <v>69</v>
      </c>
      <c r="B22" t="s">
        <v>70</v>
      </c>
      <c r="C22" t="s">
        <v>20</v>
      </c>
      <c r="D22" t="s">
        <v>21</v>
      </c>
      <c r="E22" s="5">
        <v>44960</v>
      </c>
      <c r="F22" s="1">
        <v>0.67708333333333337</v>
      </c>
      <c r="G22" t="s">
        <v>24</v>
      </c>
      <c r="H22" t="s">
        <v>51</v>
      </c>
      <c r="I22">
        <v>2761.55</v>
      </c>
      <c r="J22">
        <v>2761.55</v>
      </c>
      <c r="K22" t="s">
        <v>34</v>
      </c>
      <c r="L22" t="str">
        <f>TEXT(Table2[[#This Row],[appointment_date]],"mmmm")</f>
        <v>February</v>
      </c>
    </row>
    <row r="23" spans="1:12" x14ac:dyDescent="0.3">
      <c r="A23" t="s">
        <v>71</v>
      </c>
      <c r="B23" t="s">
        <v>72</v>
      </c>
      <c r="C23" t="s">
        <v>33</v>
      </c>
      <c r="D23" t="s">
        <v>21</v>
      </c>
      <c r="E23" s="5">
        <v>44961</v>
      </c>
      <c r="F23" s="1">
        <v>0.48958333333333331</v>
      </c>
      <c r="G23" t="s">
        <v>24</v>
      </c>
      <c r="H23" t="s">
        <v>51</v>
      </c>
      <c r="I23">
        <v>4550.1000000000004</v>
      </c>
      <c r="J23">
        <v>4550.1000000000004</v>
      </c>
      <c r="K23" t="s">
        <v>30</v>
      </c>
      <c r="L23" t="str">
        <f>TEXT(Table2[[#This Row],[appointment_date]],"mmmm")</f>
        <v>February</v>
      </c>
    </row>
    <row r="24" spans="1:12" x14ac:dyDescent="0.3">
      <c r="A24" t="s">
        <v>73</v>
      </c>
      <c r="B24" t="s">
        <v>74</v>
      </c>
      <c r="C24" t="s">
        <v>54</v>
      </c>
      <c r="D24" t="s">
        <v>14</v>
      </c>
      <c r="E24" s="5">
        <v>44962</v>
      </c>
      <c r="F24" s="1">
        <v>0.63541666666666663</v>
      </c>
      <c r="G24" t="s">
        <v>24</v>
      </c>
      <c r="H24" t="s">
        <v>16</v>
      </c>
      <c r="I24">
        <v>4019.13</v>
      </c>
      <c r="J24">
        <v>4019.13</v>
      </c>
      <c r="K24" t="s">
        <v>34</v>
      </c>
      <c r="L24" t="str">
        <f>TEXT(Table2[[#This Row],[appointment_date]],"mmmm")</f>
        <v>February</v>
      </c>
    </row>
    <row r="25" spans="1:12" x14ac:dyDescent="0.3">
      <c r="A25" t="s">
        <v>75</v>
      </c>
      <c r="B25" t="s">
        <v>76</v>
      </c>
      <c r="C25" t="s">
        <v>13</v>
      </c>
      <c r="D25" t="s">
        <v>14</v>
      </c>
      <c r="E25" s="5">
        <v>44963</v>
      </c>
      <c r="F25" s="1">
        <v>0.64583333333333337</v>
      </c>
      <c r="G25" t="s">
        <v>24</v>
      </c>
      <c r="H25" t="s">
        <v>29</v>
      </c>
      <c r="I25">
        <v>1882.8</v>
      </c>
      <c r="J25">
        <v>1882.8</v>
      </c>
      <c r="K25" t="s">
        <v>34</v>
      </c>
      <c r="L25" t="str">
        <f>TEXT(Table2[[#This Row],[appointment_date]],"mmmm")</f>
        <v>February</v>
      </c>
    </row>
    <row r="26" spans="1:12" x14ac:dyDescent="0.3">
      <c r="A26" t="s">
        <v>77</v>
      </c>
      <c r="B26" t="s">
        <v>53</v>
      </c>
      <c r="C26" t="s">
        <v>54</v>
      </c>
      <c r="D26" t="s">
        <v>14</v>
      </c>
      <c r="E26" s="5">
        <v>44969</v>
      </c>
      <c r="F26" s="1">
        <v>0.4375</v>
      </c>
      <c r="G26" t="s">
        <v>24</v>
      </c>
      <c r="H26" t="s">
        <v>29</v>
      </c>
      <c r="I26">
        <v>1565.92</v>
      </c>
      <c r="J26">
        <v>1565.92</v>
      </c>
      <c r="K26" t="s">
        <v>34</v>
      </c>
      <c r="L26" t="str">
        <f>TEXT(Table2[[#This Row],[appointment_date]],"mmmm")</f>
        <v>February</v>
      </c>
    </row>
    <row r="27" spans="1:12" x14ac:dyDescent="0.3">
      <c r="A27" t="s">
        <v>78</v>
      </c>
      <c r="B27" t="s">
        <v>79</v>
      </c>
      <c r="C27" t="s">
        <v>19</v>
      </c>
      <c r="D27" t="s">
        <v>21</v>
      </c>
      <c r="E27" s="5">
        <v>44970</v>
      </c>
      <c r="F27" s="1">
        <v>0.52083333333333337</v>
      </c>
      <c r="G27" t="s">
        <v>28</v>
      </c>
      <c r="H27" t="s">
        <v>25</v>
      </c>
      <c r="I27">
        <v>806.78</v>
      </c>
      <c r="J27">
        <v>806.78</v>
      </c>
      <c r="K27" t="s">
        <v>34</v>
      </c>
      <c r="L27" t="str">
        <f>TEXT(Table2[[#This Row],[appointment_date]],"mmmm")</f>
        <v>February</v>
      </c>
    </row>
    <row r="28" spans="1:12" x14ac:dyDescent="0.3">
      <c r="A28" t="s">
        <v>80</v>
      </c>
      <c r="B28" t="s">
        <v>76</v>
      </c>
      <c r="C28" t="s">
        <v>47</v>
      </c>
      <c r="D28" t="s">
        <v>38</v>
      </c>
      <c r="E28" s="5">
        <v>44971</v>
      </c>
      <c r="F28" s="1">
        <v>0.45833333333333331</v>
      </c>
      <c r="G28" t="s">
        <v>28</v>
      </c>
      <c r="H28" t="s">
        <v>51</v>
      </c>
      <c r="I28">
        <v>857.39</v>
      </c>
      <c r="J28">
        <v>857.39</v>
      </c>
      <c r="K28" t="s">
        <v>34</v>
      </c>
      <c r="L28" t="str">
        <f>TEXT(Table2[[#This Row],[appointment_date]],"mmmm")</f>
        <v>February</v>
      </c>
    </row>
    <row r="29" spans="1:12" x14ac:dyDescent="0.3">
      <c r="A29" t="s">
        <v>81</v>
      </c>
      <c r="B29" t="s">
        <v>82</v>
      </c>
      <c r="C29" t="s">
        <v>13</v>
      </c>
      <c r="D29" t="s">
        <v>14</v>
      </c>
      <c r="E29" s="5">
        <v>44975</v>
      </c>
      <c r="F29" s="1">
        <v>0.67708333333333337</v>
      </c>
      <c r="G29" t="s">
        <v>48</v>
      </c>
      <c r="H29" t="s">
        <v>29</v>
      </c>
      <c r="I29">
        <v>968.49</v>
      </c>
      <c r="J29">
        <v>968.49</v>
      </c>
      <c r="K29" t="s">
        <v>17</v>
      </c>
      <c r="L29" t="str">
        <f>TEXT(Table2[[#This Row],[appointment_date]],"mmmm")</f>
        <v>February</v>
      </c>
    </row>
    <row r="30" spans="1:12" x14ac:dyDescent="0.3">
      <c r="A30" t="s">
        <v>83</v>
      </c>
      <c r="B30" t="s">
        <v>82</v>
      </c>
      <c r="C30" t="s">
        <v>37</v>
      </c>
      <c r="D30" t="s">
        <v>38</v>
      </c>
      <c r="E30" s="5">
        <v>44975</v>
      </c>
      <c r="F30" s="1">
        <v>0.42708333333333331</v>
      </c>
      <c r="G30" t="s">
        <v>24</v>
      </c>
      <c r="H30" t="s">
        <v>51</v>
      </c>
      <c r="I30">
        <v>4079.52</v>
      </c>
      <c r="J30">
        <v>4079.52</v>
      </c>
      <c r="K30" t="s">
        <v>30</v>
      </c>
      <c r="L30" t="str">
        <f>TEXT(Table2[[#This Row],[appointment_date]],"mmmm")</f>
        <v>February</v>
      </c>
    </row>
    <row r="31" spans="1:12" x14ac:dyDescent="0.3">
      <c r="A31" t="s">
        <v>84</v>
      </c>
      <c r="B31" t="s">
        <v>85</v>
      </c>
      <c r="C31" t="s">
        <v>59</v>
      </c>
      <c r="D31" t="s">
        <v>21</v>
      </c>
      <c r="E31" s="5">
        <v>44980</v>
      </c>
      <c r="F31" s="1">
        <v>0.54166666666666663</v>
      </c>
      <c r="G31" t="s">
        <v>28</v>
      </c>
      <c r="H31" t="s">
        <v>25</v>
      </c>
      <c r="I31">
        <v>4126.97</v>
      </c>
      <c r="J31">
        <v>4126.97</v>
      </c>
      <c r="K31" t="s">
        <v>30</v>
      </c>
      <c r="L31" t="str">
        <f>TEXT(Table2[[#This Row],[appointment_date]],"mmmm")</f>
        <v>February</v>
      </c>
    </row>
    <row r="32" spans="1:12" x14ac:dyDescent="0.3">
      <c r="A32" t="s">
        <v>86</v>
      </c>
      <c r="B32" t="s">
        <v>61</v>
      </c>
      <c r="C32" t="s">
        <v>33</v>
      </c>
      <c r="D32" t="s">
        <v>21</v>
      </c>
      <c r="E32" s="5">
        <v>44980</v>
      </c>
      <c r="F32" s="1">
        <v>0.625</v>
      </c>
      <c r="G32" t="s">
        <v>15</v>
      </c>
      <c r="H32" t="s">
        <v>16</v>
      </c>
      <c r="I32">
        <v>4966.18</v>
      </c>
      <c r="J32">
        <v>4966.18</v>
      </c>
      <c r="K32" t="s">
        <v>30</v>
      </c>
      <c r="L32" t="str">
        <f>TEXT(Table2[[#This Row],[appointment_date]],"mmmm")</f>
        <v>February</v>
      </c>
    </row>
    <row r="33" spans="1:12" x14ac:dyDescent="0.3">
      <c r="A33" t="s">
        <v>87</v>
      </c>
      <c r="B33" t="s">
        <v>88</v>
      </c>
      <c r="C33" t="s">
        <v>13</v>
      </c>
      <c r="D33" t="s">
        <v>14</v>
      </c>
      <c r="E33" s="5">
        <v>44982</v>
      </c>
      <c r="F33" s="1">
        <v>0.33333333333333331</v>
      </c>
      <c r="G33" t="s">
        <v>48</v>
      </c>
      <c r="H33" t="s">
        <v>16</v>
      </c>
      <c r="I33">
        <v>1726.81</v>
      </c>
      <c r="J33">
        <v>1726.81</v>
      </c>
      <c r="K33" t="s">
        <v>30</v>
      </c>
      <c r="L33" t="str">
        <f>TEXT(Table2[[#This Row],[appointment_date]],"mmmm")</f>
        <v>February</v>
      </c>
    </row>
    <row r="34" spans="1:12" x14ac:dyDescent="0.3">
      <c r="A34" t="s">
        <v>89</v>
      </c>
      <c r="B34" t="s">
        <v>19</v>
      </c>
      <c r="C34" t="s">
        <v>42</v>
      </c>
      <c r="D34" t="s">
        <v>14</v>
      </c>
      <c r="E34" s="5">
        <v>44983</v>
      </c>
      <c r="F34" s="1">
        <v>0.73958333333333337</v>
      </c>
      <c r="G34" t="s">
        <v>39</v>
      </c>
      <c r="H34" t="s">
        <v>51</v>
      </c>
      <c r="I34">
        <v>2293.98</v>
      </c>
      <c r="J34">
        <v>2293.98</v>
      </c>
      <c r="K34" t="s">
        <v>34</v>
      </c>
      <c r="L34" t="str">
        <f>TEXT(Table2[[#This Row],[appointment_date]],"mmmm")</f>
        <v>February</v>
      </c>
    </row>
    <row r="35" spans="1:12" x14ac:dyDescent="0.3">
      <c r="A35" t="s">
        <v>90</v>
      </c>
      <c r="B35" t="s">
        <v>23</v>
      </c>
      <c r="C35" t="s">
        <v>67</v>
      </c>
      <c r="D35" t="s">
        <v>21</v>
      </c>
      <c r="E35" s="5">
        <v>44985</v>
      </c>
      <c r="F35" s="1">
        <v>0.44791666666666669</v>
      </c>
      <c r="G35" t="s">
        <v>39</v>
      </c>
      <c r="H35" t="s">
        <v>51</v>
      </c>
      <c r="I35">
        <v>2064.0700000000002</v>
      </c>
      <c r="J35">
        <v>2064.0700000000002</v>
      </c>
      <c r="K35" t="s">
        <v>17</v>
      </c>
      <c r="L35" t="str">
        <f>TEXT(Table2[[#This Row],[appointment_date]],"mmmm")</f>
        <v>February</v>
      </c>
    </row>
    <row r="36" spans="1:12" x14ac:dyDescent="0.3">
      <c r="A36" t="s">
        <v>91</v>
      </c>
      <c r="B36" t="s">
        <v>76</v>
      </c>
      <c r="C36" t="s">
        <v>33</v>
      </c>
      <c r="D36" t="s">
        <v>21</v>
      </c>
      <c r="E36" s="5">
        <v>44987</v>
      </c>
      <c r="F36" s="1">
        <v>0.33333333333333331</v>
      </c>
      <c r="G36" t="s">
        <v>15</v>
      </c>
      <c r="H36" t="s">
        <v>25</v>
      </c>
      <c r="I36">
        <v>1551.7</v>
      </c>
      <c r="J36">
        <v>1551.7</v>
      </c>
      <c r="K36" t="s">
        <v>30</v>
      </c>
      <c r="L36" t="str">
        <f>TEXT(Table2[[#This Row],[appointment_date]],"mmmm")</f>
        <v>March</v>
      </c>
    </row>
    <row r="37" spans="1:12" x14ac:dyDescent="0.3">
      <c r="A37" t="s">
        <v>92</v>
      </c>
      <c r="B37" t="s">
        <v>42</v>
      </c>
      <c r="C37" t="s">
        <v>54</v>
      </c>
      <c r="D37" t="s">
        <v>14</v>
      </c>
      <c r="E37" s="5">
        <v>44988</v>
      </c>
      <c r="F37" s="1">
        <v>0.375</v>
      </c>
      <c r="G37" t="s">
        <v>24</v>
      </c>
      <c r="H37" t="s">
        <v>25</v>
      </c>
      <c r="I37">
        <v>1280.8599999999999</v>
      </c>
      <c r="J37">
        <v>1280.8599999999999</v>
      </c>
      <c r="K37" t="s">
        <v>30</v>
      </c>
      <c r="L37" t="str">
        <f>TEXT(Table2[[#This Row],[appointment_date]],"mmmm")</f>
        <v>March</v>
      </c>
    </row>
    <row r="38" spans="1:12" x14ac:dyDescent="0.3">
      <c r="A38" t="s">
        <v>93</v>
      </c>
      <c r="B38" t="s">
        <v>94</v>
      </c>
      <c r="C38" t="s">
        <v>47</v>
      </c>
      <c r="D38" t="s">
        <v>38</v>
      </c>
      <c r="E38" s="5">
        <v>44990</v>
      </c>
      <c r="F38" s="1">
        <v>0.57291666666666663</v>
      </c>
      <c r="G38" t="s">
        <v>48</v>
      </c>
      <c r="H38" t="s">
        <v>25</v>
      </c>
      <c r="I38">
        <v>4541.1400000000003</v>
      </c>
      <c r="J38">
        <v>4541.1400000000003</v>
      </c>
      <c r="K38" t="s">
        <v>17</v>
      </c>
      <c r="L38" t="str">
        <f>TEXT(Table2[[#This Row],[appointment_date]],"mmmm")</f>
        <v>March</v>
      </c>
    </row>
    <row r="39" spans="1:12" x14ac:dyDescent="0.3">
      <c r="A39" t="s">
        <v>95</v>
      </c>
      <c r="B39" t="s">
        <v>74</v>
      </c>
      <c r="C39" t="s">
        <v>33</v>
      </c>
      <c r="D39" t="s">
        <v>21</v>
      </c>
      <c r="E39" s="5">
        <v>44991</v>
      </c>
      <c r="F39" s="1">
        <v>0.72916666666666663</v>
      </c>
      <c r="G39" t="s">
        <v>15</v>
      </c>
      <c r="H39" t="s">
        <v>16</v>
      </c>
      <c r="I39">
        <v>4637.26</v>
      </c>
      <c r="J39">
        <v>4637.26</v>
      </c>
      <c r="K39" t="s">
        <v>30</v>
      </c>
      <c r="L39" t="str">
        <f>TEXT(Table2[[#This Row],[appointment_date]],"mmmm")</f>
        <v>March</v>
      </c>
    </row>
    <row r="40" spans="1:12" x14ac:dyDescent="0.3">
      <c r="A40" t="s">
        <v>96</v>
      </c>
      <c r="B40" t="s">
        <v>76</v>
      </c>
      <c r="C40" t="s">
        <v>33</v>
      </c>
      <c r="D40" t="s">
        <v>21</v>
      </c>
      <c r="E40" s="5">
        <v>44993</v>
      </c>
      <c r="F40" s="1">
        <v>0.51041666666666663</v>
      </c>
      <c r="G40" t="s">
        <v>24</v>
      </c>
      <c r="H40" t="s">
        <v>51</v>
      </c>
      <c r="I40">
        <v>2691.78</v>
      </c>
      <c r="J40">
        <v>2691.78</v>
      </c>
      <c r="K40" t="s">
        <v>30</v>
      </c>
      <c r="L40" t="str">
        <f>TEXT(Table2[[#This Row],[appointment_date]],"mmmm")</f>
        <v>March</v>
      </c>
    </row>
    <row r="41" spans="1:12" x14ac:dyDescent="0.3">
      <c r="A41" t="s">
        <v>97</v>
      </c>
      <c r="B41" t="s">
        <v>79</v>
      </c>
      <c r="C41" t="s">
        <v>47</v>
      </c>
      <c r="D41" t="s">
        <v>38</v>
      </c>
      <c r="E41" s="5">
        <v>44994</v>
      </c>
      <c r="F41" s="1">
        <v>0.64583333333333337</v>
      </c>
      <c r="G41" t="s">
        <v>39</v>
      </c>
      <c r="H41" t="s">
        <v>29</v>
      </c>
      <c r="I41">
        <v>929.91</v>
      </c>
      <c r="J41">
        <v>929.91</v>
      </c>
      <c r="K41" t="s">
        <v>34</v>
      </c>
      <c r="L41" t="str">
        <f>TEXT(Table2[[#This Row],[appointment_date]],"mmmm")</f>
        <v>March</v>
      </c>
    </row>
    <row r="42" spans="1:12" x14ac:dyDescent="0.3">
      <c r="A42" t="s">
        <v>98</v>
      </c>
      <c r="B42" t="s">
        <v>99</v>
      </c>
      <c r="C42" t="s">
        <v>33</v>
      </c>
      <c r="D42" t="s">
        <v>21</v>
      </c>
      <c r="E42" s="5">
        <v>44994</v>
      </c>
      <c r="F42" s="1">
        <v>0.67708333333333337</v>
      </c>
      <c r="G42" t="s">
        <v>24</v>
      </c>
      <c r="H42" t="s">
        <v>25</v>
      </c>
      <c r="I42">
        <v>2057.4499999999998</v>
      </c>
      <c r="J42">
        <v>2057.4499999999998</v>
      </c>
      <c r="K42" t="s">
        <v>17</v>
      </c>
      <c r="L42" t="str">
        <f>TEXT(Table2[[#This Row],[appointment_date]],"mmmm")</f>
        <v>March</v>
      </c>
    </row>
    <row r="43" spans="1:12" x14ac:dyDescent="0.3">
      <c r="A43" t="s">
        <v>100</v>
      </c>
      <c r="B43" t="s">
        <v>85</v>
      </c>
      <c r="C43" t="s">
        <v>54</v>
      </c>
      <c r="D43" t="s">
        <v>14</v>
      </c>
      <c r="E43" s="5">
        <v>44999</v>
      </c>
      <c r="F43" s="1">
        <v>0.625</v>
      </c>
      <c r="G43" t="s">
        <v>24</v>
      </c>
      <c r="H43" t="s">
        <v>25</v>
      </c>
      <c r="I43">
        <v>606.37</v>
      </c>
      <c r="J43">
        <v>606.37</v>
      </c>
      <c r="K43" t="s">
        <v>30</v>
      </c>
      <c r="L43" t="str">
        <f>TEXT(Table2[[#This Row],[appointment_date]],"mmmm")</f>
        <v>March</v>
      </c>
    </row>
    <row r="44" spans="1:12" x14ac:dyDescent="0.3">
      <c r="A44" t="s">
        <v>101</v>
      </c>
      <c r="B44" t="s">
        <v>102</v>
      </c>
      <c r="C44" t="s">
        <v>42</v>
      </c>
      <c r="D44" t="s">
        <v>14</v>
      </c>
      <c r="E44" s="5">
        <v>45001</v>
      </c>
      <c r="F44" s="1">
        <v>0.71875</v>
      </c>
      <c r="G44" t="s">
        <v>15</v>
      </c>
      <c r="H44" t="s">
        <v>29</v>
      </c>
      <c r="I44">
        <v>3492.1</v>
      </c>
      <c r="J44">
        <v>3492.1</v>
      </c>
      <c r="K44" t="s">
        <v>34</v>
      </c>
      <c r="L44" t="str">
        <f>TEXT(Table2[[#This Row],[appointment_date]],"mmmm")</f>
        <v>March</v>
      </c>
    </row>
    <row r="45" spans="1:12" x14ac:dyDescent="0.3">
      <c r="A45" t="s">
        <v>103</v>
      </c>
      <c r="B45" t="s">
        <v>36</v>
      </c>
      <c r="C45" t="s">
        <v>33</v>
      </c>
      <c r="D45" t="s">
        <v>21</v>
      </c>
      <c r="E45" s="5">
        <v>45002</v>
      </c>
      <c r="F45" s="1">
        <v>0.59375</v>
      </c>
      <c r="G45" t="s">
        <v>48</v>
      </c>
      <c r="H45" t="s">
        <v>29</v>
      </c>
      <c r="I45">
        <v>2360.9699999999998</v>
      </c>
      <c r="J45">
        <v>2360.9699999999998</v>
      </c>
      <c r="K45" t="s">
        <v>17</v>
      </c>
      <c r="L45" t="str">
        <f>TEXT(Table2[[#This Row],[appointment_date]],"mmmm")</f>
        <v>March</v>
      </c>
    </row>
    <row r="46" spans="1:12" x14ac:dyDescent="0.3">
      <c r="A46" t="s">
        <v>104</v>
      </c>
      <c r="B46" t="s">
        <v>105</v>
      </c>
      <c r="C46" t="s">
        <v>54</v>
      </c>
      <c r="D46" t="s">
        <v>14</v>
      </c>
      <c r="E46" s="5">
        <v>45002</v>
      </c>
      <c r="F46" s="1">
        <v>0.54166666666666663</v>
      </c>
      <c r="G46" t="s">
        <v>15</v>
      </c>
      <c r="H46" t="s">
        <v>51</v>
      </c>
      <c r="I46">
        <v>804.26</v>
      </c>
      <c r="J46">
        <v>804.26</v>
      </c>
      <c r="K46" t="s">
        <v>17</v>
      </c>
      <c r="L46" t="str">
        <f>TEXT(Table2[[#This Row],[appointment_date]],"mmmm")</f>
        <v>March</v>
      </c>
    </row>
    <row r="47" spans="1:12" x14ac:dyDescent="0.3">
      <c r="A47" t="s">
        <v>106</v>
      </c>
      <c r="B47" t="s">
        <v>74</v>
      </c>
      <c r="C47" t="s">
        <v>59</v>
      </c>
      <c r="D47" t="s">
        <v>21</v>
      </c>
      <c r="E47" s="5">
        <v>45006</v>
      </c>
      <c r="F47" s="1">
        <v>0.58333333333333337</v>
      </c>
      <c r="G47" t="s">
        <v>28</v>
      </c>
      <c r="H47" t="s">
        <v>25</v>
      </c>
      <c r="I47">
        <v>1158.68</v>
      </c>
      <c r="J47">
        <v>1158.68</v>
      </c>
      <c r="K47" t="s">
        <v>34</v>
      </c>
      <c r="L47" t="str">
        <f>TEXT(Table2[[#This Row],[appointment_date]],"mmmm")</f>
        <v>March</v>
      </c>
    </row>
    <row r="48" spans="1:12" x14ac:dyDescent="0.3">
      <c r="A48" t="s">
        <v>107</v>
      </c>
      <c r="B48" t="s">
        <v>44</v>
      </c>
      <c r="C48" t="s">
        <v>13</v>
      </c>
      <c r="D48" t="s">
        <v>14</v>
      </c>
      <c r="E48" s="5">
        <v>45006</v>
      </c>
      <c r="F48" s="1">
        <v>0.46875</v>
      </c>
      <c r="G48" t="s">
        <v>15</v>
      </c>
      <c r="H48" t="s">
        <v>25</v>
      </c>
      <c r="I48">
        <v>4781.32</v>
      </c>
      <c r="J48">
        <v>4781.32</v>
      </c>
      <c r="K48" t="s">
        <v>34</v>
      </c>
      <c r="L48" t="str">
        <f>TEXT(Table2[[#This Row],[appointment_date]],"mmmm")</f>
        <v>March</v>
      </c>
    </row>
    <row r="49" spans="1:12" x14ac:dyDescent="0.3">
      <c r="A49" t="s">
        <v>108</v>
      </c>
      <c r="B49" t="s">
        <v>46</v>
      </c>
      <c r="C49" t="s">
        <v>13</v>
      </c>
      <c r="D49" t="s">
        <v>14</v>
      </c>
      <c r="E49" s="5">
        <v>45008</v>
      </c>
      <c r="F49" s="1">
        <v>0.60416666666666663</v>
      </c>
      <c r="G49" t="s">
        <v>24</v>
      </c>
      <c r="H49" t="s">
        <v>51</v>
      </c>
      <c r="I49">
        <v>4289.1499999999996</v>
      </c>
      <c r="J49">
        <v>4289.1499999999996</v>
      </c>
      <c r="K49" t="s">
        <v>17</v>
      </c>
      <c r="L49" t="str">
        <f>TEXT(Table2[[#This Row],[appointment_date]],"mmmm")</f>
        <v>March</v>
      </c>
    </row>
    <row r="50" spans="1:12" x14ac:dyDescent="0.3">
      <c r="A50" t="s">
        <v>109</v>
      </c>
      <c r="B50" t="s">
        <v>36</v>
      </c>
      <c r="C50" t="s">
        <v>59</v>
      </c>
      <c r="D50" t="s">
        <v>21</v>
      </c>
      <c r="E50" s="5">
        <v>45012</v>
      </c>
      <c r="F50" s="1">
        <v>0.52083333333333337</v>
      </c>
      <c r="G50" t="s">
        <v>39</v>
      </c>
      <c r="H50" t="s">
        <v>51</v>
      </c>
      <c r="I50">
        <v>695.36</v>
      </c>
      <c r="J50">
        <v>695.36</v>
      </c>
      <c r="K50" t="s">
        <v>30</v>
      </c>
      <c r="L50" t="str">
        <f>TEXT(Table2[[#This Row],[appointment_date]],"mmmm")</f>
        <v>March</v>
      </c>
    </row>
    <row r="51" spans="1:12" x14ac:dyDescent="0.3">
      <c r="A51" t="s">
        <v>110</v>
      </c>
      <c r="B51" t="s">
        <v>99</v>
      </c>
      <c r="C51" t="s">
        <v>19</v>
      </c>
      <c r="D51" t="s">
        <v>21</v>
      </c>
      <c r="E51" s="5">
        <v>45012</v>
      </c>
      <c r="F51" s="1">
        <v>0.71875</v>
      </c>
      <c r="G51" t="s">
        <v>48</v>
      </c>
      <c r="H51" t="s">
        <v>16</v>
      </c>
      <c r="I51">
        <v>2153.9</v>
      </c>
      <c r="J51">
        <v>2153.9</v>
      </c>
      <c r="K51" t="s">
        <v>17</v>
      </c>
      <c r="L51" t="str">
        <f>TEXT(Table2[[#This Row],[appointment_date]],"mmmm")</f>
        <v>March</v>
      </c>
    </row>
    <row r="52" spans="1:12" x14ac:dyDescent="0.3">
      <c r="A52" t="s">
        <v>111</v>
      </c>
      <c r="B52" t="s">
        <v>88</v>
      </c>
      <c r="C52" t="s">
        <v>20</v>
      </c>
      <c r="D52" t="s">
        <v>21</v>
      </c>
      <c r="E52" s="5">
        <v>45013</v>
      </c>
      <c r="F52" s="1">
        <v>0.45833333333333331</v>
      </c>
      <c r="G52" t="s">
        <v>28</v>
      </c>
      <c r="H52" t="s">
        <v>25</v>
      </c>
      <c r="I52">
        <v>2675.96</v>
      </c>
      <c r="J52">
        <v>2675.96</v>
      </c>
      <c r="K52" t="s">
        <v>30</v>
      </c>
      <c r="L52" t="str">
        <f>TEXT(Table2[[#This Row],[appointment_date]],"mmmm")</f>
        <v>March</v>
      </c>
    </row>
    <row r="53" spans="1:12" x14ac:dyDescent="0.3">
      <c r="A53" t="s">
        <v>112</v>
      </c>
      <c r="B53" t="s">
        <v>113</v>
      </c>
      <c r="C53" t="s">
        <v>54</v>
      </c>
      <c r="D53" t="s">
        <v>14</v>
      </c>
      <c r="E53" s="5">
        <v>45014</v>
      </c>
      <c r="F53" s="1">
        <v>0.38541666666666669</v>
      </c>
      <c r="G53" t="s">
        <v>28</v>
      </c>
      <c r="H53" t="s">
        <v>16</v>
      </c>
      <c r="I53">
        <v>3207.25</v>
      </c>
      <c r="J53">
        <v>3207.25</v>
      </c>
      <c r="K53" t="s">
        <v>30</v>
      </c>
      <c r="L53" t="str">
        <f>TEXT(Table2[[#This Row],[appointment_date]],"mmmm")</f>
        <v>March</v>
      </c>
    </row>
    <row r="54" spans="1:12" x14ac:dyDescent="0.3">
      <c r="A54" t="s">
        <v>114</v>
      </c>
      <c r="B54" t="s">
        <v>74</v>
      </c>
      <c r="C54" t="s">
        <v>20</v>
      </c>
      <c r="D54" t="s">
        <v>21</v>
      </c>
      <c r="E54" s="5">
        <v>45014</v>
      </c>
      <c r="F54" s="1">
        <v>0.64583333333333337</v>
      </c>
      <c r="G54" t="s">
        <v>39</v>
      </c>
      <c r="H54" t="s">
        <v>29</v>
      </c>
      <c r="I54">
        <v>3388.87</v>
      </c>
      <c r="J54">
        <v>3388.87</v>
      </c>
      <c r="K54" t="s">
        <v>17</v>
      </c>
      <c r="L54" t="str">
        <f>TEXT(Table2[[#This Row],[appointment_date]],"mmmm")</f>
        <v>March</v>
      </c>
    </row>
    <row r="55" spans="1:12" x14ac:dyDescent="0.3">
      <c r="A55" t="s">
        <v>115</v>
      </c>
      <c r="B55" t="s">
        <v>58</v>
      </c>
      <c r="C55" t="s">
        <v>54</v>
      </c>
      <c r="D55" t="s">
        <v>14</v>
      </c>
      <c r="E55" s="5">
        <v>45017</v>
      </c>
      <c r="F55" s="1">
        <v>0.5625</v>
      </c>
      <c r="G55" t="s">
        <v>15</v>
      </c>
      <c r="H55" t="s">
        <v>16</v>
      </c>
      <c r="I55">
        <v>975.49</v>
      </c>
      <c r="J55">
        <v>975.49</v>
      </c>
      <c r="K55" t="s">
        <v>34</v>
      </c>
      <c r="L55" t="str">
        <f>TEXT(Table2[[#This Row],[appointment_date]],"mmmm")</f>
        <v>April</v>
      </c>
    </row>
    <row r="56" spans="1:12" x14ac:dyDescent="0.3">
      <c r="A56" t="s">
        <v>116</v>
      </c>
      <c r="B56" t="s">
        <v>56</v>
      </c>
      <c r="C56" t="s">
        <v>33</v>
      </c>
      <c r="D56" t="s">
        <v>21</v>
      </c>
      <c r="E56" s="5">
        <v>45020</v>
      </c>
      <c r="F56" s="1">
        <v>0.4375</v>
      </c>
      <c r="G56" t="s">
        <v>24</v>
      </c>
      <c r="H56" t="s">
        <v>51</v>
      </c>
      <c r="I56">
        <v>2863.24</v>
      </c>
      <c r="J56">
        <v>2863.24</v>
      </c>
      <c r="K56" t="s">
        <v>34</v>
      </c>
      <c r="L56" t="str">
        <f>TEXT(Table2[[#This Row],[appointment_date]],"mmmm")</f>
        <v>April</v>
      </c>
    </row>
    <row r="57" spans="1:12" x14ac:dyDescent="0.3">
      <c r="A57" t="s">
        <v>117</v>
      </c>
      <c r="B57" t="s">
        <v>118</v>
      </c>
      <c r="C57" t="s">
        <v>13</v>
      </c>
      <c r="D57" t="s">
        <v>14</v>
      </c>
      <c r="E57" s="5">
        <v>45020</v>
      </c>
      <c r="F57" s="1">
        <v>0.64583333333333337</v>
      </c>
      <c r="G57" t="s">
        <v>28</v>
      </c>
      <c r="H57" t="s">
        <v>29</v>
      </c>
      <c r="I57">
        <v>4126.66</v>
      </c>
      <c r="J57">
        <v>4126.66</v>
      </c>
      <c r="K57" t="s">
        <v>30</v>
      </c>
      <c r="L57" t="str">
        <f>TEXT(Table2[[#This Row],[appointment_date]],"mmmm")</f>
        <v>April</v>
      </c>
    </row>
    <row r="58" spans="1:12" x14ac:dyDescent="0.3">
      <c r="A58" t="s">
        <v>119</v>
      </c>
      <c r="B58" t="s">
        <v>120</v>
      </c>
      <c r="C58" t="s">
        <v>67</v>
      </c>
      <c r="D58" t="s">
        <v>21</v>
      </c>
      <c r="E58" s="5">
        <v>45022</v>
      </c>
      <c r="F58" s="1">
        <v>0.53125</v>
      </c>
      <c r="G58" t="s">
        <v>39</v>
      </c>
      <c r="H58" t="s">
        <v>25</v>
      </c>
      <c r="I58">
        <v>1903.17</v>
      </c>
      <c r="J58">
        <v>1903.17</v>
      </c>
      <c r="K58" t="s">
        <v>34</v>
      </c>
      <c r="L58" t="str">
        <f>TEXT(Table2[[#This Row],[appointment_date]],"mmmm")</f>
        <v>April</v>
      </c>
    </row>
    <row r="59" spans="1:12" x14ac:dyDescent="0.3">
      <c r="A59" t="s">
        <v>121</v>
      </c>
      <c r="B59" t="s">
        <v>85</v>
      </c>
      <c r="C59" t="s">
        <v>13</v>
      </c>
      <c r="D59" t="s">
        <v>14</v>
      </c>
      <c r="E59" s="5">
        <v>45023</v>
      </c>
      <c r="F59" s="1">
        <v>0.625</v>
      </c>
      <c r="G59" t="s">
        <v>24</v>
      </c>
      <c r="H59" t="s">
        <v>51</v>
      </c>
      <c r="I59">
        <v>2526.67</v>
      </c>
      <c r="J59">
        <v>2526.67</v>
      </c>
      <c r="K59" t="s">
        <v>34</v>
      </c>
      <c r="L59" t="str">
        <f>TEXT(Table2[[#This Row],[appointment_date]],"mmmm")</f>
        <v>April</v>
      </c>
    </row>
    <row r="60" spans="1:12" x14ac:dyDescent="0.3">
      <c r="A60" t="s">
        <v>122</v>
      </c>
      <c r="B60" t="s">
        <v>36</v>
      </c>
      <c r="C60" t="s">
        <v>19</v>
      </c>
      <c r="D60" t="s">
        <v>21</v>
      </c>
      <c r="E60" s="5">
        <v>45024</v>
      </c>
      <c r="F60" s="1">
        <v>0.67708333333333337</v>
      </c>
      <c r="G60" t="s">
        <v>15</v>
      </c>
      <c r="H60" t="s">
        <v>16</v>
      </c>
      <c r="I60">
        <v>4687.68</v>
      </c>
      <c r="J60">
        <v>4687.68</v>
      </c>
      <c r="K60" t="s">
        <v>34</v>
      </c>
      <c r="L60" t="str">
        <f>TEXT(Table2[[#This Row],[appointment_date]],"mmmm")</f>
        <v>April</v>
      </c>
    </row>
    <row r="61" spans="1:12" x14ac:dyDescent="0.3">
      <c r="A61" t="s">
        <v>123</v>
      </c>
      <c r="B61" t="s">
        <v>85</v>
      </c>
      <c r="C61" t="s">
        <v>67</v>
      </c>
      <c r="D61" t="s">
        <v>21</v>
      </c>
      <c r="E61" s="5">
        <v>45024</v>
      </c>
      <c r="F61" s="1">
        <v>0.36458333333333331</v>
      </c>
      <c r="G61" t="s">
        <v>28</v>
      </c>
      <c r="H61" t="s">
        <v>29</v>
      </c>
      <c r="I61">
        <v>1519.95</v>
      </c>
      <c r="J61">
        <v>1519.95</v>
      </c>
      <c r="K61" t="s">
        <v>30</v>
      </c>
      <c r="L61" t="str">
        <f>TEXT(Table2[[#This Row],[appointment_date]],"mmmm")</f>
        <v>April</v>
      </c>
    </row>
    <row r="62" spans="1:12" x14ac:dyDescent="0.3">
      <c r="A62" t="s">
        <v>124</v>
      </c>
      <c r="B62" t="s">
        <v>58</v>
      </c>
      <c r="C62" t="s">
        <v>37</v>
      </c>
      <c r="D62" t="s">
        <v>38</v>
      </c>
      <c r="E62" s="5">
        <v>45025</v>
      </c>
      <c r="F62" s="1">
        <v>0.4375</v>
      </c>
      <c r="G62" t="s">
        <v>28</v>
      </c>
      <c r="H62" t="s">
        <v>25</v>
      </c>
      <c r="I62">
        <v>534.03</v>
      </c>
      <c r="J62">
        <v>534.03</v>
      </c>
      <c r="K62" t="s">
        <v>30</v>
      </c>
      <c r="L62" t="str">
        <f>TEXT(Table2[[#This Row],[appointment_date]],"mmmm")</f>
        <v>April</v>
      </c>
    </row>
    <row r="63" spans="1:12" x14ac:dyDescent="0.3">
      <c r="A63" t="s">
        <v>125</v>
      </c>
      <c r="B63" t="s">
        <v>113</v>
      </c>
      <c r="C63" t="s">
        <v>13</v>
      </c>
      <c r="D63" t="s">
        <v>14</v>
      </c>
      <c r="E63" s="5">
        <v>45025</v>
      </c>
      <c r="F63" s="1">
        <v>0.39583333333333331</v>
      </c>
      <c r="G63" t="s">
        <v>48</v>
      </c>
      <c r="H63" t="s">
        <v>51</v>
      </c>
      <c r="I63">
        <v>1955.17</v>
      </c>
      <c r="J63">
        <v>1955.17</v>
      </c>
      <c r="K63" t="s">
        <v>30</v>
      </c>
      <c r="L63" t="str">
        <f>TEXT(Table2[[#This Row],[appointment_date]],"mmmm")</f>
        <v>April</v>
      </c>
    </row>
    <row r="64" spans="1:12" x14ac:dyDescent="0.3">
      <c r="A64" t="s">
        <v>126</v>
      </c>
      <c r="B64" t="s">
        <v>63</v>
      </c>
      <c r="C64" t="s">
        <v>67</v>
      </c>
      <c r="D64" t="s">
        <v>21</v>
      </c>
      <c r="E64" s="5">
        <v>45028</v>
      </c>
      <c r="F64" s="1">
        <v>0.6875</v>
      </c>
      <c r="G64" t="s">
        <v>48</v>
      </c>
      <c r="H64" t="s">
        <v>29</v>
      </c>
      <c r="I64">
        <v>616.15</v>
      </c>
      <c r="J64">
        <v>616.15</v>
      </c>
      <c r="K64" t="s">
        <v>17</v>
      </c>
      <c r="L64" t="str">
        <f>TEXT(Table2[[#This Row],[appointment_date]],"mmmm")</f>
        <v>April</v>
      </c>
    </row>
    <row r="65" spans="1:12" x14ac:dyDescent="0.3">
      <c r="A65" t="s">
        <v>127</v>
      </c>
      <c r="B65" t="s">
        <v>102</v>
      </c>
      <c r="C65" t="s">
        <v>42</v>
      </c>
      <c r="D65" t="s">
        <v>14</v>
      </c>
      <c r="E65" s="5">
        <v>45028</v>
      </c>
      <c r="F65" s="1">
        <v>0.33333333333333331</v>
      </c>
      <c r="G65" t="s">
        <v>48</v>
      </c>
      <c r="H65" t="s">
        <v>51</v>
      </c>
      <c r="I65">
        <v>1286.77</v>
      </c>
      <c r="J65">
        <v>1286.77</v>
      </c>
      <c r="K65" t="s">
        <v>17</v>
      </c>
      <c r="L65" t="str">
        <f>TEXT(Table2[[#This Row],[appointment_date]],"mmmm")</f>
        <v>April</v>
      </c>
    </row>
    <row r="66" spans="1:12" x14ac:dyDescent="0.3">
      <c r="A66" t="s">
        <v>128</v>
      </c>
      <c r="B66" t="s">
        <v>85</v>
      </c>
      <c r="C66" t="s">
        <v>19</v>
      </c>
      <c r="D66" t="s">
        <v>21</v>
      </c>
      <c r="E66" s="5">
        <v>45028</v>
      </c>
      <c r="F66" s="1">
        <v>0.66666666666666663</v>
      </c>
      <c r="G66" t="s">
        <v>28</v>
      </c>
      <c r="H66" t="s">
        <v>29</v>
      </c>
      <c r="I66">
        <v>2972.88</v>
      </c>
      <c r="J66">
        <v>2972.88</v>
      </c>
      <c r="K66" t="s">
        <v>30</v>
      </c>
      <c r="L66" t="str">
        <f>TEXT(Table2[[#This Row],[appointment_date]],"mmmm")</f>
        <v>April</v>
      </c>
    </row>
    <row r="67" spans="1:12" x14ac:dyDescent="0.3">
      <c r="A67" t="s">
        <v>129</v>
      </c>
      <c r="B67" t="s">
        <v>12</v>
      </c>
      <c r="C67" t="s">
        <v>20</v>
      </c>
      <c r="D67" t="s">
        <v>21</v>
      </c>
      <c r="E67" s="5">
        <v>45030</v>
      </c>
      <c r="F67" s="1">
        <v>0.35416666666666669</v>
      </c>
      <c r="G67" t="s">
        <v>39</v>
      </c>
      <c r="H67" t="s">
        <v>51</v>
      </c>
      <c r="I67">
        <v>3202.67</v>
      </c>
      <c r="J67">
        <v>3202.67</v>
      </c>
      <c r="K67" t="s">
        <v>30</v>
      </c>
      <c r="L67" t="str">
        <f>TEXT(Table2[[#This Row],[appointment_date]],"mmmm")</f>
        <v>April</v>
      </c>
    </row>
    <row r="68" spans="1:12" x14ac:dyDescent="0.3">
      <c r="A68" t="s">
        <v>130</v>
      </c>
      <c r="B68" t="s">
        <v>85</v>
      </c>
      <c r="C68" t="s">
        <v>67</v>
      </c>
      <c r="D68" t="s">
        <v>21</v>
      </c>
      <c r="E68" s="5">
        <v>45031</v>
      </c>
      <c r="F68" s="1">
        <v>0.61458333333333337</v>
      </c>
      <c r="G68" t="s">
        <v>48</v>
      </c>
      <c r="H68" t="s">
        <v>51</v>
      </c>
      <c r="I68">
        <v>2296.92</v>
      </c>
      <c r="J68">
        <v>2296.92</v>
      </c>
      <c r="K68" t="s">
        <v>34</v>
      </c>
      <c r="L68" t="str">
        <f>TEXT(Table2[[#This Row],[appointment_date]],"mmmm")</f>
        <v>April</v>
      </c>
    </row>
    <row r="69" spans="1:12" x14ac:dyDescent="0.3">
      <c r="A69" t="s">
        <v>131</v>
      </c>
      <c r="B69" t="s">
        <v>32</v>
      </c>
      <c r="C69" t="s">
        <v>47</v>
      </c>
      <c r="D69" t="s">
        <v>38</v>
      </c>
      <c r="E69" s="5">
        <v>45031</v>
      </c>
      <c r="F69" s="1">
        <v>0.73958333333333337</v>
      </c>
      <c r="G69" t="s">
        <v>15</v>
      </c>
      <c r="H69" t="s">
        <v>51</v>
      </c>
      <c r="I69">
        <v>2406.8200000000002</v>
      </c>
      <c r="J69">
        <v>2406.8200000000002</v>
      </c>
      <c r="K69" t="s">
        <v>17</v>
      </c>
      <c r="L69" t="str">
        <f>TEXT(Table2[[#This Row],[appointment_date]],"mmmm")</f>
        <v>April</v>
      </c>
    </row>
    <row r="70" spans="1:12" x14ac:dyDescent="0.3">
      <c r="A70" t="s">
        <v>132</v>
      </c>
      <c r="B70" t="s">
        <v>74</v>
      </c>
      <c r="C70" t="s">
        <v>37</v>
      </c>
      <c r="D70" t="s">
        <v>38</v>
      </c>
      <c r="E70" s="5">
        <v>45033</v>
      </c>
      <c r="F70" s="1">
        <v>0.57291666666666663</v>
      </c>
      <c r="G70" t="s">
        <v>48</v>
      </c>
      <c r="H70" t="s">
        <v>51</v>
      </c>
      <c r="I70">
        <v>3512.69</v>
      </c>
      <c r="J70">
        <v>3512.69</v>
      </c>
      <c r="K70" t="s">
        <v>34</v>
      </c>
      <c r="L70" t="str">
        <f>TEXT(Table2[[#This Row],[appointment_date]],"mmmm")</f>
        <v>April</v>
      </c>
    </row>
    <row r="71" spans="1:12" x14ac:dyDescent="0.3">
      <c r="A71" t="s">
        <v>133</v>
      </c>
      <c r="B71" t="s">
        <v>82</v>
      </c>
      <c r="C71" t="s">
        <v>67</v>
      </c>
      <c r="D71" t="s">
        <v>21</v>
      </c>
      <c r="E71" s="5">
        <v>45033</v>
      </c>
      <c r="F71" s="1">
        <v>0.33333333333333331</v>
      </c>
      <c r="G71" t="s">
        <v>48</v>
      </c>
      <c r="H71" t="s">
        <v>25</v>
      </c>
      <c r="I71">
        <v>2976.02</v>
      </c>
      <c r="J71">
        <v>2976.02</v>
      </c>
      <c r="K71" t="s">
        <v>30</v>
      </c>
      <c r="L71" t="str">
        <f>TEXT(Table2[[#This Row],[appointment_date]],"mmmm")</f>
        <v>April</v>
      </c>
    </row>
    <row r="72" spans="1:12" x14ac:dyDescent="0.3">
      <c r="A72" t="s">
        <v>134</v>
      </c>
      <c r="B72" t="s">
        <v>44</v>
      </c>
      <c r="C72" t="s">
        <v>19</v>
      </c>
      <c r="D72" t="s">
        <v>21</v>
      </c>
      <c r="E72" s="5">
        <v>45034</v>
      </c>
      <c r="F72" s="1">
        <v>0.36458333333333331</v>
      </c>
      <c r="G72" t="s">
        <v>48</v>
      </c>
      <c r="H72" t="s">
        <v>25</v>
      </c>
      <c r="I72">
        <v>1654.53</v>
      </c>
      <c r="J72">
        <v>1654.53</v>
      </c>
      <c r="K72" t="s">
        <v>30</v>
      </c>
      <c r="L72" t="str">
        <f>TEXT(Table2[[#This Row],[appointment_date]],"mmmm")</f>
        <v>April</v>
      </c>
    </row>
    <row r="73" spans="1:12" x14ac:dyDescent="0.3">
      <c r="A73" t="s">
        <v>135</v>
      </c>
      <c r="B73" t="s">
        <v>44</v>
      </c>
      <c r="C73" t="s">
        <v>33</v>
      </c>
      <c r="D73" t="s">
        <v>21</v>
      </c>
      <c r="E73" s="5">
        <v>45034</v>
      </c>
      <c r="F73" s="1">
        <v>0.36458333333333331</v>
      </c>
      <c r="G73" t="s">
        <v>48</v>
      </c>
      <c r="H73" t="s">
        <v>51</v>
      </c>
      <c r="I73">
        <v>2898.31</v>
      </c>
      <c r="J73">
        <v>2898.31</v>
      </c>
      <c r="K73" t="s">
        <v>30</v>
      </c>
      <c r="L73" t="str">
        <f>TEXT(Table2[[#This Row],[appointment_date]],"mmmm")</f>
        <v>April</v>
      </c>
    </row>
    <row r="74" spans="1:12" x14ac:dyDescent="0.3">
      <c r="A74" t="s">
        <v>136</v>
      </c>
      <c r="B74" t="s">
        <v>137</v>
      </c>
      <c r="C74" t="s">
        <v>67</v>
      </c>
      <c r="D74" t="s">
        <v>21</v>
      </c>
      <c r="E74" s="5">
        <v>45034</v>
      </c>
      <c r="F74" s="1">
        <v>0.6875</v>
      </c>
      <c r="G74" t="s">
        <v>48</v>
      </c>
      <c r="H74" t="s">
        <v>29</v>
      </c>
      <c r="I74">
        <v>3627.28</v>
      </c>
      <c r="J74">
        <v>3627.28</v>
      </c>
      <c r="K74" t="s">
        <v>30</v>
      </c>
      <c r="L74" t="str">
        <f>TEXT(Table2[[#This Row],[appointment_date]],"mmmm")</f>
        <v>April</v>
      </c>
    </row>
    <row r="75" spans="1:12" x14ac:dyDescent="0.3">
      <c r="A75" t="s">
        <v>138</v>
      </c>
      <c r="B75" t="s">
        <v>53</v>
      </c>
      <c r="C75" t="s">
        <v>54</v>
      </c>
      <c r="D75" t="s">
        <v>14</v>
      </c>
      <c r="E75" s="5">
        <v>45037</v>
      </c>
      <c r="F75" s="1">
        <v>0.625</v>
      </c>
      <c r="G75" t="s">
        <v>15</v>
      </c>
      <c r="H75" t="s">
        <v>29</v>
      </c>
      <c r="I75">
        <v>4973.63</v>
      </c>
      <c r="J75">
        <v>4973.63</v>
      </c>
      <c r="K75" t="s">
        <v>17</v>
      </c>
      <c r="L75" t="str">
        <f>TEXT(Table2[[#This Row],[appointment_date]],"mmmm")</f>
        <v>April</v>
      </c>
    </row>
    <row r="76" spans="1:12" x14ac:dyDescent="0.3">
      <c r="A76" t="s">
        <v>139</v>
      </c>
      <c r="B76" t="s">
        <v>44</v>
      </c>
      <c r="C76" t="s">
        <v>13</v>
      </c>
      <c r="D76" t="s">
        <v>14</v>
      </c>
      <c r="E76" s="5">
        <v>45040</v>
      </c>
      <c r="F76" s="1">
        <v>0.65625</v>
      </c>
      <c r="G76" t="s">
        <v>15</v>
      </c>
      <c r="H76" t="s">
        <v>29</v>
      </c>
      <c r="I76">
        <v>4382.59</v>
      </c>
      <c r="J76">
        <v>4382.59</v>
      </c>
      <c r="K76" t="s">
        <v>30</v>
      </c>
      <c r="L76" t="str">
        <f>TEXT(Table2[[#This Row],[appointment_date]],"mmmm")</f>
        <v>April</v>
      </c>
    </row>
    <row r="77" spans="1:12" x14ac:dyDescent="0.3">
      <c r="A77" t="s">
        <v>140</v>
      </c>
      <c r="B77" t="s">
        <v>32</v>
      </c>
      <c r="C77" t="s">
        <v>59</v>
      </c>
      <c r="D77" t="s">
        <v>21</v>
      </c>
      <c r="E77" s="5">
        <v>45040</v>
      </c>
      <c r="F77" s="1">
        <v>0.41666666666666669</v>
      </c>
      <c r="G77" t="s">
        <v>39</v>
      </c>
      <c r="H77" t="s">
        <v>16</v>
      </c>
      <c r="I77">
        <v>2926.23</v>
      </c>
      <c r="J77">
        <v>2926.23</v>
      </c>
      <c r="K77" t="s">
        <v>30</v>
      </c>
      <c r="L77" t="str">
        <f>TEXT(Table2[[#This Row],[appointment_date]],"mmmm")</f>
        <v>April</v>
      </c>
    </row>
    <row r="78" spans="1:12" x14ac:dyDescent="0.3">
      <c r="A78" t="s">
        <v>141</v>
      </c>
      <c r="B78" t="s">
        <v>36</v>
      </c>
      <c r="C78" t="s">
        <v>59</v>
      </c>
      <c r="D78" t="s">
        <v>21</v>
      </c>
      <c r="E78" s="5">
        <v>45042</v>
      </c>
      <c r="F78" s="1">
        <v>0.39583333333333331</v>
      </c>
      <c r="G78" t="s">
        <v>39</v>
      </c>
      <c r="H78" t="s">
        <v>16</v>
      </c>
      <c r="I78">
        <v>1096.3599999999999</v>
      </c>
      <c r="J78">
        <v>1096.3599999999999</v>
      </c>
      <c r="K78" t="s">
        <v>17</v>
      </c>
      <c r="L78" t="str">
        <f>TEXT(Table2[[#This Row],[appointment_date]],"mmmm")</f>
        <v>April</v>
      </c>
    </row>
    <row r="79" spans="1:12" x14ac:dyDescent="0.3">
      <c r="A79" t="s">
        <v>142</v>
      </c>
      <c r="B79" t="s">
        <v>12</v>
      </c>
      <c r="C79" t="s">
        <v>47</v>
      </c>
      <c r="D79" t="s">
        <v>38</v>
      </c>
      <c r="E79" s="5">
        <v>45046</v>
      </c>
      <c r="F79" s="1">
        <v>0.64583333333333337</v>
      </c>
      <c r="G79" t="s">
        <v>28</v>
      </c>
      <c r="H79" t="s">
        <v>16</v>
      </c>
      <c r="I79">
        <v>2349.63</v>
      </c>
      <c r="J79">
        <v>2349.63</v>
      </c>
      <c r="K79" t="s">
        <v>34</v>
      </c>
      <c r="L79" t="str">
        <f>TEXT(Table2[[#This Row],[appointment_date]],"mmmm")</f>
        <v>April</v>
      </c>
    </row>
    <row r="80" spans="1:12" x14ac:dyDescent="0.3">
      <c r="A80" t="s">
        <v>143</v>
      </c>
      <c r="B80" t="s">
        <v>61</v>
      </c>
      <c r="C80" t="s">
        <v>13</v>
      </c>
      <c r="D80" t="s">
        <v>14</v>
      </c>
      <c r="E80" s="5">
        <v>45047</v>
      </c>
      <c r="F80" s="1">
        <v>0.53125</v>
      </c>
      <c r="G80" t="s">
        <v>48</v>
      </c>
      <c r="H80" t="s">
        <v>51</v>
      </c>
      <c r="I80">
        <v>1472.17</v>
      </c>
      <c r="J80">
        <v>1472.17</v>
      </c>
      <c r="K80" t="s">
        <v>17</v>
      </c>
      <c r="L80" t="str">
        <f>TEXT(Table2[[#This Row],[appointment_date]],"mmmm")</f>
        <v>May</v>
      </c>
    </row>
    <row r="81" spans="1:12" x14ac:dyDescent="0.3">
      <c r="A81" t="s">
        <v>144</v>
      </c>
      <c r="B81" t="s">
        <v>120</v>
      </c>
      <c r="C81" t="s">
        <v>54</v>
      </c>
      <c r="D81" t="s">
        <v>14</v>
      </c>
      <c r="E81" s="5">
        <v>45048</v>
      </c>
      <c r="F81" s="1">
        <v>0.6875</v>
      </c>
      <c r="G81" t="s">
        <v>24</v>
      </c>
      <c r="H81" t="s">
        <v>51</v>
      </c>
      <c r="I81">
        <v>1733.72</v>
      </c>
      <c r="J81">
        <v>1733.72</v>
      </c>
      <c r="K81" t="s">
        <v>17</v>
      </c>
      <c r="L81" t="str">
        <f>TEXT(Table2[[#This Row],[appointment_date]],"mmmm")</f>
        <v>May</v>
      </c>
    </row>
    <row r="82" spans="1:12" x14ac:dyDescent="0.3">
      <c r="A82" t="s">
        <v>145</v>
      </c>
      <c r="B82" t="s">
        <v>32</v>
      </c>
      <c r="C82" t="s">
        <v>37</v>
      </c>
      <c r="D82" t="s">
        <v>38</v>
      </c>
      <c r="E82" s="5">
        <v>45048</v>
      </c>
      <c r="F82" s="1">
        <v>0.45833333333333331</v>
      </c>
      <c r="G82" t="s">
        <v>39</v>
      </c>
      <c r="H82" t="s">
        <v>51</v>
      </c>
      <c r="I82">
        <v>1454.2</v>
      </c>
      <c r="J82">
        <v>1454.2</v>
      </c>
      <c r="K82" t="s">
        <v>30</v>
      </c>
      <c r="L82" t="str">
        <f>TEXT(Table2[[#This Row],[appointment_date]],"mmmm")</f>
        <v>May</v>
      </c>
    </row>
    <row r="83" spans="1:12" x14ac:dyDescent="0.3">
      <c r="A83" t="s">
        <v>146</v>
      </c>
      <c r="B83" t="s">
        <v>99</v>
      </c>
      <c r="C83" t="s">
        <v>13</v>
      </c>
      <c r="D83" t="s">
        <v>14</v>
      </c>
      <c r="E83" s="5">
        <v>45052</v>
      </c>
      <c r="F83" s="1">
        <v>0.61458333333333337</v>
      </c>
      <c r="G83" t="s">
        <v>48</v>
      </c>
      <c r="H83" t="s">
        <v>16</v>
      </c>
      <c r="I83">
        <v>2835.77</v>
      </c>
      <c r="J83">
        <v>2835.77</v>
      </c>
      <c r="K83" t="s">
        <v>30</v>
      </c>
      <c r="L83" t="str">
        <f>TEXT(Table2[[#This Row],[appointment_date]],"mmmm")</f>
        <v>May</v>
      </c>
    </row>
    <row r="84" spans="1:12" x14ac:dyDescent="0.3">
      <c r="A84" t="s">
        <v>147</v>
      </c>
      <c r="B84" t="s">
        <v>76</v>
      </c>
      <c r="C84" t="s">
        <v>19</v>
      </c>
      <c r="D84" t="s">
        <v>21</v>
      </c>
      <c r="E84" s="5">
        <v>45053</v>
      </c>
      <c r="F84" s="1">
        <v>0.41666666666666669</v>
      </c>
      <c r="G84" t="s">
        <v>48</v>
      </c>
      <c r="H84" t="s">
        <v>51</v>
      </c>
      <c r="I84">
        <v>771.2</v>
      </c>
      <c r="J84">
        <v>771.2</v>
      </c>
      <c r="K84" t="s">
        <v>34</v>
      </c>
      <c r="L84" t="str">
        <f>TEXT(Table2[[#This Row],[appointment_date]],"mmmm")</f>
        <v>May</v>
      </c>
    </row>
    <row r="85" spans="1:12" x14ac:dyDescent="0.3">
      <c r="A85" t="s">
        <v>148</v>
      </c>
      <c r="B85" t="s">
        <v>42</v>
      </c>
      <c r="C85" t="s">
        <v>59</v>
      </c>
      <c r="D85" t="s">
        <v>21</v>
      </c>
      <c r="E85" s="5">
        <v>45054</v>
      </c>
      <c r="F85" s="1">
        <v>0.58333333333333337</v>
      </c>
      <c r="G85" t="s">
        <v>48</v>
      </c>
      <c r="H85" t="s">
        <v>29</v>
      </c>
      <c r="I85">
        <v>2735.45</v>
      </c>
      <c r="J85">
        <v>2735.45</v>
      </c>
      <c r="K85" t="s">
        <v>30</v>
      </c>
      <c r="L85" t="str">
        <f>TEXT(Table2[[#This Row],[appointment_date]],"mmmm")</f>
        <v>May</v>
      </c>
    </row>
    <row r="86" spans="1:12" x14ac:dyDescent="0.3">
      <c r="A86" t="s">
        <v>149</v>
      </c>
      <c r="B86" t="s">
        <v>41</v>
      </c>
      <c r="C86" t="s">
        <v>59</v>
      </c>
      <c r="D86" t="s">
        <v>21</v>
      </c>
      <c r="E86" s="5">
        <v>45055</v>
      </c>
      <c r="F86" s="1">
        <v>0.42708333333333331</v>
      </c>
      <c r="G86" t="s">
        <v>39</v>
      </c>
      <c r="H86" t="s">
        <v>29</v>
      </c>
      <c r="I86">
        <v>2097.48</v>
      </c>
      <c r="J86">
        <v>2097.48</v>
      </c>
      <c r="K86" t="s">
        <v>30</v>
      </c>
      <c r="L86" t="str">
        <f>TEXT(Table2[[#This Row],[appointment_date]],"mmmm")</f>
        <v>May</v>
      </c>
    </row>
    <row r="87" spans="1:12" x14ac:dyDescent="0.3">
      <c r="A87" t="s">
        <v>150</v>
      </c>
      <c r="B87" t="s">
        <v>151</v>
      </c>
      <c r="C87" t="s">
        <v>59</v>
      </c>
      <c r="D87" t="s">
        <v>21</v>
      </c>
      <c r="E87" s="5">
        <v>45055</v>
      </c>
      <c r="F87" s="1">
        <v>0.60416666666666663</v>
      </c>
      <c r="G87" t="s">
        <v>48</v>
      </c>
      <c r="H87" t="s">
        <v>29</v>
      </c>
      <c r="I87">
        <v>3246.5</v>
      </c>
      <c r="J87">
        <v>3246.5</v>
      </c>
      <c r="K87" t="s">
        <v>34</v>
      </c>
      <c r="L87" t="str">
        <f>TEXT(Table2[[#This Row],[appointment_date]],"mmmm")</f>
        <v>May</v>
      </c>
    </row>
    <row r="88" spans="1:12" x14ac:dyDescent="0.3">
      <c r="A88" t="s">
        <v>152</v>
      </c>
      <c r="B88" t="s">
        <v>32</v>
      </c>
      <c r="C88" t="s">
        <v>42</v>
      </c>
      <c r="D88" t="s">
        <v>14</v>
      </c>
      <c r="E88" s="5">
        <v>45055</v>
      </c>
      <c r="F88" s="1">
        <v>0.55208333333333337</v>
      </c>
      <c r="G88" t="s">
        <v>28</v>
      </c>
      <c r="H88" t="s">
        <v>16</v>
      </c>
      <c r="I88">
        <v>3503.97</v>
      </c>
      <c r="J88">
        <v>3503.97</v>
      </c>
      <c r="K88" t="s">
        <v>30</v>
      </c>
      <c r="L88" t="str">
        <f>TEXT(Table2[[#This Row],[appointment_date]],"mmmm")</f>
        <v>May</v>
      </c>
    </row>
    <row r="89" spans="1:12" x14ac:dyDescent="0.3">
      <c r="A89" t="s">
        <v>153</v>
      </c>
      <c r="B89" t="s">
        <v>44</v>
      </c>
      <c r="C89" t="s">
        <v>59</v>
      </c>
      <c r="D89" t="s">
        <v>21</v>
      </c>
      <c r="E89" s="5">
        <v>45056</v>
      </c>
      <c r="F89" s="1">
        <v>0.48958333333333331</v>
      </c>
      <c r="G89" t="s">
        <v>28</v>
      </c>
      <c r="H89" t="s">
        <v>16</v>
      </c>
      <c r="I89">
        <v>1475.33</v>
      </c>
      <c r="J89">
        <v>1475.33</v>
      </c>
      <c r="K89" t="s">
        <v>34</v>
      </c>
      <c r="L89" t="str">
        <f>TEXT(Table2[[#This Row],[appointment_date]],"mmmm")</f>
        <v>May</v>
      </c>
    </row>
    <row r="90" spans="1:12" x14ac:dyDescent="0.3">
      <c r="A90" t="s">
        <v>154</v>
      </c>
      <c r="B90" t="s">
        <v>23</v>
      </c>
      <c r="C90" t="s">
        <v>19</v>
      </c>
      <c r="D90" t="s">
        <v>21</v>
      </c>
      <c r="E90" s="5">
        <v>45057</v>
      </c>
      <c r="F90" s="1">
        <v>0.6875</v>
      </c>
      <c r="G90" t="s">
        <v>39</v>
      </c>
      <c r="H90" t="s">
        <v>16</v>
      </c>
      <c r="I90">
        <v>4671.5</v>
      </c>
      <c r="J90">
        <v>4671.5</v>
      </c>
      <c r="K90" t="s">
        <v>30</v>
      </c>
      <c r="L90" t="str">
        <f>TEXT(Table2[[#This Row],[appointment_date]],"mmmm")</f>
        <v>May</v>
      </c>
    </row>
    <row r="91" spans="1:12" x14ac:dyDescent="0.3">
      <c r="A91" t="s">
        <v>155</v>
      </c>
      <c r="B91" t="s">
        <v>44</v>
      </c>
      <c r="C91" t="s">
        <v>37</v>
      </c>
      <c r="D91" t="s">
        <v>38</v>
      </c>
      <c r="E91" s="5">
        <v>45058</v>
      </c>
      <c r="F91" s="1">
        <v>0.45833333333333331</v>
      </c>
      <c r="G91" t="s">
        <v>48</v>
      </c>
      <c r="H91" t="s">
        <v>51</v>
      </c>
      <c r="I91">
        <v>4331.41</v>
      </c>
      <c r="J91">
        <v>4331.41</v>
      </c>
      <c r="K91" t="s">
        <v>30</v>
      </c>
      <c r="L91" t="str">
        <f>TEXT(Table2[[#This Row],[appointment_date]],"mmmm")</f>
        <v>May</v>
      </c>
    </row>
    <row r="92" spans="1:12" x14ac:dyDescent="0.3">
      <c r="A92" t="s">
        <v>156</v>
      </c>
      <c r="B92" t="s">
        <v>102</v>
      </c>
      <c r="C92" t="s">
        <v>59</v>
      </c>
      <c r="D92" t="s">
        <v>21</v>
      </c>
      <c r="E92" s="5">
        <v>45059</v>
      </c>
      <c r="F92" s="1">
        <v>0.52083333333333337</v>
      </c>
      <c r="G92" t="s">
        <v>48</v>
      </c>
      <c r="H92" t="s">
        <v>51</v>
      </c>
      <c r="I92">
        <v>901.06</v>
      </c>
      <c r="J92">
        <v>901.06</v>
      </c>
      <c r="K92" t="s">
        <v>30</v>
      </c>
      <c r="L92" t="str">
        <f>TEXT(Table2[[#This Row],[appointment_date]],"mmmm")</f>
        <v>May</v>
      </c>
    </row>
    <row r="93" spans="1:12" x14ac:dyDescent="0.3">
      <c r="A93" t="s">
        <v>157</v>
      </c>
      <c r="B93" t="s">
        <v>158</v>
      </c>
      <c r="C93" t="s">
        <v>33</v>
      </c>
      <c r="D93" t="s">
        <v>21</v>
      </c>
      <c r="E93" s="5">
        <v>45061</v>
      </c>
      <c r="F93" s="1">
        <v>0.35416666666666669</v>
      </c>
      <c r="G93" t="s">
        <v>39</v>
      </c>
      <c r="H93" t="s">
        <v>16</v>
      </c>
      <c r="I93">
        <v>3383.72</v>
      </c>
      <c r="J93">
        <v>3383.72</v>
      </c>
      <c r="K93" t="s">
        <v>30</v>
      </c>
      <c r="L93" t="str">
        <f>TEXT(Table2[[#This Row],[appointment_date]],"mmmm")</f>
        <v>May</v>
      </c>
    </row>
    <row r="94" spans="1:12" x14ac:dyDescent="0.3">
      <c r="A94" t="s">
        <v>159</v>
      </c>
      <c r="B94" t="s">
        <v>12</v>
      </c>
      <c r="C94" t="s">
        <v>47</v>
      </c>
      <c r="D94" t="s">
        <v>38</v>
      </c>
      <c r="E94" s="5">
        <v>45068</v>
      </c>
      <c r="F94" s="1">
        <v>0.64583333333333337</v>
      </c>
      <c r="G94" t="s">
        <v>48</v>
      </c>
      <c r="H94" t="s">
        <v>25</v>
      </c>
      <c r="I94">
        <v>3787.93</v>
      </c>
      <c r="J94">
        <v>3787.93</v>
      </c>
      <c r="K94" t="s">
        <v>17</v>
      </c>
      <c r="L94" t="str">
        <f>TEXT(Table2[[#This Row],[appointment_date]],"mmmm")</f>
        <v>May</v>
      </c>
    </row>
    <row r="95" spans="1:12" x14ac:dyDescent="0.3">
      <c r="A95" t="s">
        <v>160</v>
      </c>
      <c r="B95" t="s">
        <v>36</v>
      </c>
      <c r="C95" t="s">
        <v>47</v>
      </c>
      <c r="D95" t="s">
        <v>38</v>
      </c>
      <c r="E95" s="5">
        <v>45070</v>
      </c>
      <c r="F95" s="1">
        <v>0.36458333333333331</v>
      </c>
      <c r="G95" t="s">
        <v>28</v>
      </c>
      <c r="H95" t="s">
        <v>29</v>
      </c>
      <c r="I95">
        <v>3413.64</v>
      </c>
      <c r="J95">
        <v>3413.64</v>
      </c>
      <c r="K95" t="s">
        <v>30</v>
      </c>
      <c r="L95" t="str">
        <f>TEXT(Table2[[#This Row],[appointment_date]],"mmmm")</f>
        <v>May</v>
      </c>
    </row>
    <row r="96" spans="1:12" x14ac:dyDescent="0.3">
      <c r="A96" t="s">
        <v>161</v>
      </c>
      <c r="B96" t="s">
        <v>74</v>
      </c>
      <c r="C96" t="s">
        <v>47</v>
      </c>
      <c r="D96" t="s">
        <v>38</v>
      </c>
      <c r="E96" s="5">
        <v>45071</v>
      </c>
      <c r="F96" s="1">
        <v>0.4375</v>
      </c>
      <c r="G96" t="s">
        <v>15</v>
      </c>
      <c r="H96" t="s">
        <v>29</v>
      </c>
      <c r="I96">
        <v>2082.3000000000002</v>
      </c>
      <c r="J96">
        <v>2082.3000000000002</v>
      </c>
      <c r="K96" t="s">
        <v>17</v>
      </c>
      <c r="L96" t="str">
        <f>TEXT(Table2[[#This Row],[appointment_date]],"mmmm")</f>
        <v>May</v>
      </c>
    </row>
    <row r="97" spans="1:12" x14ac:dyDescent="0.3">
      <c r="A97" t="s">
        <v>162</v>
      </c>
      <c r="B97" t="s">
        <v>12</v>
      </c>
      <c r="C97" t="s">
        <v>33</v>
      </c>
      <c r="D97" t="s">
        <v>21</v>
      </c>
      <c r="E97" s="5">
        <v>45077</v>
      </c>
      <c r="F97" s="1">
        <v>0.66666666666666663</v>
      </c>
      <c r="G97" t="s">
        <v>28</v>
      </c>
      <c r="H97" t="s">
        <v>25</v>
      </c>
      <c r="I97">
        <v>1077.77</v>
      </c>
      <c r="J97">
        <v>1077.77</v>
      </c>
      <c r="K97" t="s">
        <v>34</v>
      </c>
      <c r="L97" t="str">
        <f>TEXT(Table2[[#This Row],[appointment_date]],"mmmm")</f>
        <v>May</v>
      </c>
    </row>
    <row r="98" spans="1:12" x14ac:dyDescent="0.3">
      <c r="A98" t="s">
        <v>163</v>
      </c>
      <c r="B98" t="s">
        <v>12</v>
      </c>
      <c r="C98" t="s">
        <v>33</v>
      </c>
      <c r="D98" t="s">
        <v>21</v>
      </c>
      <c r="E98" s="5">
        <v>45077</v>
      </c>
      <c r="F98" s="1">
        <v>0.35416666666666669</v>
      </c>
      <c r="G98" t="s">
        <v>24</v>
      </c>
      <c r="H98" t="s">
        <v>29</v>
      </c>
      <c r="I98">
        <v>3815.93</v>
      </c>
      <c r="J98">
        <v>3815.93</v>
      </c>
      <c r="K98" t="s">
        <v>17</v>
      </c>
      <c r="L98" t="str">
        <f>TEXT(Table2[[#This Row],[appointment_date]],"mmmm")</f>
        <v>May</v>
      </c>
    </row>
    <row r="99" spans="1:12" x14ac:dyDescent="0.3">
      <c r="A99" t="s">
        <v>164</v>
      </c>
      <c r="B99" t="s">
        <v>56</v>
      </c>
      <c r="C99" t="s">
        <v>59</v>
      </c>
      <c r="D99" t="s">
        <v>21</v>
      </c>
      <c r="E99" s="5">
        <v>45078</v>
      </c>
      <c r="F99" s="1">
        <v>0.72916666666666663</v>
      </c>
      <c r="G99" t="s">
        <v>15</v>
      </c>
      <c r="H99" t="s">
        <v>16</v>
      </c>
      <c r="I99">
        <v>885.46</v>
      </c>
      <c r="J99">
        <v>885.46</v>
      </c>
      <c r="K99" t="s">
        <v>17</v>
      </c>
      <c r="L99" t="str">
        <f>TEXT(Table2[[#This Row],[appointment_date]],"mmmm")</f>
        <v>June</v>
      </c>
    </row>
    <row r="100" spans="1:12" x14ac:dyDescent="0.3">
      <c r="A100" t="s">
        <v>165</v>
      </c>
      <c r="B100" t="s">
        <v>151</v>
      </c>
      <c r="C100" t="s">
        <v>54</v>
      </c>
      <c r="D100" t="s">
        <v>14</v>
      </c>
      <c r="E100" s="5">
        <v>45081</v>
      </c>
      <c r="F100" s="1">
        <v>0.5625</v>
      </c>
      <c r="G100" t="s">
        <v>24</v>
      </c>
      <c r="H100" t="s">
        <v>51</v>
      </c>
      <c r="I100">
        <v>4890.25</v>
      </c>
      <c r="J100">
        <v>4890.25</v>
      </c>
      <c r="K100" t="s">
        <v>34</v>
      </c>
      <c r="L100" t="str">
        <f>TEXT(Table2[[#This Row],[appointment_date]],"mmmm")</f>
        <v>June</v>
      </c>
    </row>
    <row r="101" spans="1:12" x14ac:dyDescent="0.3">
      <c r="A101" t="s">
        <v>166</v>
      </c>
      <c r="B101" t="s">
        <v>32</v>
      </c>
      <c r="C101" t="s">
        <v>20</v>
      </c>
      <c r="D101" t="s">
        <v>21</v>
      </c>
      <c r="E101" s="5">
        <v>45086</v>
      </c>
      <c r="F101" s="1">
        <v>0.60416666666666663</v>
      </c>
      <c r="G101" t="s">
        <v>39</v>
      </c>
      <c r="H101" t="s">
        <v>16</v>
      </c>
      <c r="I101">
        <v>4158.4399999999996</v>
      </c>
      <c r="J101">
        <v>4158.4399999999996</v>
      </c>
      <c r="K101" t="s">
        <v>17</v>
      </c>
      <c r="L101" t="str">
        <f>TEXT(Table2[[#This Row],[appointment_date]],"mmmm")</f>
        <v>June</v>
      </c>
    </row>
    <row r="102" spans="1:12" x14ac:dyDescent="0.3">
      <c r="A102" t="s">
        <v>167</v>
      </c>
      <c r="B102" t="s">
        <v>36</v>
      </c>
      <c r="C102" t="s">
        <v>33</v>
      </c>
      <c r="D102" t="s">
        <v>21</v>
      </c>
      <c r="E102" s="5">
        <v>45088</v>
      </c>
      <c r="F102" s="1">
        <v>0.55208333333333337</v>
      </c>
      <c r="G102" t="s">
        <v>15</v>
      </c>
      <c r="H102" t="s">
        <v>29</v>
      </c>
      <c r="I102">
        <v>4523.8599999999997</v>
      </c>
      <c r="J102">
        <v>4523.8599999999997</v>
      </c>
      <c r="K102" t="s">
        <v>17</v>
      </c>
      <c r="L102" t="str">
        <f>TEXT(Table2[[#This Row],[appointment_date]],"mmmm")</f>
        <v>June</v>
      </c>
    </row>
    <row r="103" spans="1:12" x14ac:dyDescent="0.3">
      <c r="A103" t="s">
        <v>168</v>
      </c>
      <c r="B103" t="s">
        <v>44</v>
      </c>
      <c r="C103" t="s">
        <v>67</v>
      </c>
      <c r="D103" t="s">
        <v>21</v>
      </c>
      <c r="E103" s="5">
        <v>45089</v>
      </c>
      <c r="F103" s="1">
        <v>0.5625</v>
      </c>
      <c r="G103" t="s">
        <v>24</v>
      </c>
      <c r="H103" t="s">
        <v>25</v>
      </c>
      <c r="I103">
        <v>1543.76</v>
      </c>
      <c r="J103">
        <v>1543.76</v>
      </c>
      <c r="K103" t="s">
        <v>34</v>
      </c>
      <c r="L103" t="str">
        <f>TEXT(Table2[[#This Row],[appointment_date]],"mmmm")</f>
        <v>June</v>
      </c>
    </row>
    <row r="104" spans="1:12" x14ac:dyDescent="0.3">
      <c r="A104" t="s">
        <v>169</v>
      </c>
      <c r="B104" t="s">
        <v>94</v>
      </c>
      <c r="C104" t="s">
        <v>20</v>
      </c>
      <c r="D104" t="s">
        <v>21</v>
      </c>
      <c r="E104" s="5">
        <v>45090</v>
      </c>
      <c r="F104" s="1">
        <v>0.47916666666666669</v>
      </c>
      <c r="G104" t="s">
        <v>28</v>
      </c>
      <c r="H104" t="s">
        <v>16</v>
      </c>
      <c r="I104">
        <v>3052.9</v>
      </c>
      <c r="J104">
        <v>3052.9</v>
      </c>
      <c r="K104" t="s">
        <v>30</v>
      </c>
      <c r="L104" t="str">
        <f>TEXT(Table2[[#This Row],[appointment_date]],"mmmm")</f>
        <v>June</v>
      </c>
    </row>
    <row r="105" spans="1:12" x14ac:dyDescent="0.3">
      <c r="A105" t="s">
        <v>170</v>
      </c>
      <c r="B105" t="s">
        <v>74</v>
      </c>
      <c r="C105" t="s">
        <v>59</v>
      </c>
      <c r="D105" t="s">
        <v>21</v>
      </c>
      <c r="E105" s="5">
        <v>45091</v>
      </c>
      <c r="F105" s="1">
        <v>0.63541666666666663</v>
      </c>
      <c r="G105" t="s">
        <v>24</v>
      </c>
      <c r="H105" t="s">
        <v>16</v>
      </c>
      <c r="I105">
        <v>3139.74</v>
      </c>
      <c r="J105">
        <v>3139.74</v>
      </c>
      <c r="K105" t="s">
        <v>17</v>
      </c>
      <c r="L105" t="str">
        <f>TEXT(Table2[[#This Row],[appointment_date]],"mmmm")</f>
        <v>June</v>
      </c>
    </row>
    <row r="106" spans="1:12" x14ac:dyDescent="0.3">
      <c r="A106" t="s">
        <v>171</v>
      </c>
      <c r="B106" t="s">
        <v>85</v>
      </c>
      <c r="C106" t="s">
        <v>67</v>
      </c>
      <c r="D106" t="s">
        <v>21</v>
      </c>
      <c r="E106" s="5">
        <v>45092</v>
      </c>
      <c r="F106" s="1">
        <v>0.63541666666666663</v>
      </c>
      <c r="G106" t="s">
        <v>24</v>
      </c>
      <c r="H106" t="s">
        <v>51</v>
      </c>
      <c r="I106">
        <v>3689.35</v>
      </c>
      <c r="J106">
        <v>3689.35</v>
      </c>
      <c r="K106" t="s">
        <v>34</v>
      </c>
      <c r="L106" t="str">
        <f>TEXT(Table2[[#This Row],[appointment_date]],"mmmm")</f>
        <v>June</v>
      </c>
    </row>
    <row r="107" spans="1:12" x14ac:dyDescent="0.3">
      <c r="A107" t="s">
        <v>172</v>
      </c>
      <c r="B107" t="s">
        <v>105</v>
      </c>
      <c r="C107" t="s">
        <v>54</v>
      </c>
      <c r="D107" t="s">
        <v>14</v>
      </c>
      <c r="E107" s="5">
        <v>45094</v>
      </c>
      <c r="F107" s="1">
        <v>0.44791666666666669</v>
      </c>
      <c r="G107" t="s">
        <v>28</v>
      </c>
      <c r="H107" t="s">
        <v>25</v>
      </c>
      <c r="I107">
        <v>4178.5200000000004</v>
      </c>
      <c r="J107">
        <v>4178.5200000000004</v>
      </c>
      <c r="K107" t="s">
        <v>17</v>
      </c>
      <c r="L107" t="str">
        <f>TEXT(Table2[[#This Row],[appointment_date]],"mmmm")</f>
        <v>June</v>
      </c>
    </row>
    <row r="108" spans="1:12" x14ac:dyDescent="0.3">
      <c r="A108" t="s">
        <v>173</v>
      </c>
      <c r="B108" t="s">
        <v>105</v>
      </c>
      <c r="C108" t="s">
        <v>33</v>
      </c>
      <c r="D108" t="s">
        <v>21</v>
      </c>
      <c r="E108" s="5">
        <v>45096</v>
      </c>
      <c r="F108" s="1">
        <v>0.67708333333333337</v>
      </c>
      <c r="G108" t="s">
        <v>24</v>
      </c>
      <c r="H108" t="s">
        <v>25</v>
      </c>
      <c r="I108">
        <v>1381</v>
      </c>
      <c r="J108">
        <v>1381</v>
      </c>
      <c r="K108" t="s">
        <v>34</v>
      </c>
      <c r="L108" t="str">
        <f>TEXT(Table2[[#This Row],[appointment_date]],"mmmm")</f>
        <v>June</v>
      </c>
    </row>
    <row r="109" spans="1:12" x14ac:dyDescent="0.3">
      <c r="A109" t="s">
        <v>174</v>
      </c>
      <c r="B109" t="s">
        <v>32</v>
      </c>
      <c r="C109" t="s">
        <v>13</v>
      </c>
      <c r="D109" t="s">
        <v>14</v>
      </c>
      <c r="E109" s="5">
        <v>45097</v>
      </c>
      <c r="F109" s="1">
        <v>0.57291666666666663</v>
      </c>
      <c r="G109" t="s">
        <v>28</v>
      </c>
      <c r="H109" t="s">
        <v>16</v>
      </c>
      <c r="I109">
        <v>3605.02</v>
      </c>
      <c r="J109">
        <v>3605.02</v>
      </c>
      <c r="K109" t="s">
        <v>17</v>
      </c>
      <c r="L109" t="str">
        <f>TEXT(Table2[[#This Row],[appointment_date]],"mmmm")</f>
        <v>June</v>
      </c>
    </row>
    <row r="110" spans="1:12" x14ac:dyDescent="0.3">
      <c r="A110" t="s">
        <v>175</v>
      </c>
      <c r="B110" t="s">
        <v>23</v>
      </c>
      <c r="C110" t="s">
        <v>42</v>
      </c>
      <c r="D110" t="s">
        <v>14</v>
      </c>
      <c r="E110" s="5">
        <v>45098</v>
      </c>
      <c r="F110" s="1">
        <v>0.33333333333333331</v>
      </c>
      <c r="G110" t="s">
        <v>24</v>
      </c>
      <c r="H110" t="s">
        <v>51</v>
      </c>
      <c r="I110">
        <v>3722.68</v>
      </c>
      <c r="J110">
        <v>3722.68</v>
      </c>
      <c r="K110" t="s">
        <v>34</v>
      </c>
      <c r="L110" t="str">
        <f>TEXT(Table2[[#This Row],[appointment_date]],"mmmm")</f>
        <v>June</v>
      </c>
    </row>
    <row r="111" spans="1:12" x14ac:dyDescent="0.3">
      <c r="A111" t="s">
        <v>176</v>
      </c>
      <c r="B111" t="s">
        <v>36</v>
      </c>
      <c r="C111" t="s">
        <v>47</v>
      </c>
      <c r="D111" t="s">
        <v>38</v>
      </c>
      <c r="E111" s="5">
        <v>45102</v>
      </c>
      <c r="F111" s="1">
        <v>0.60416666666666663</v>
      </c>
      <c r="G111" t="s">
        <v>24</v>
      </c>
      <c r="H111" t="s">
        <v>51</v>
      </c>
      <c r="I111">
        <v>3565.03</v>
      </c>
      <c r="J111">
        <v>3565.03</v>
      </c>
      <c r="K111" t="s">
        <v>17</v>
      </c>
      <c r="L111" t="str">
        <f>TEXT(Table2[[#This Row],[appointment_date]],"mmmm")</f>
        <v>June</v>
      </c>
    </row>
    <row r="112" spans="1:12" x14ac:dyDescent="0.3">
      <c r="A112" t="s">
        <v>177</v>
      </c>
      <c r="B112" t="s">
        <v>118</v>
      </c>
      <c r="C112" t="s">
        <v>54</v>
      </c>
      <c r="D112" t="s">
        <v>14</v>
      </c>
      <c r="E112" s="5">
        <v>45103</v>
      </c>
      <c r="F112" s="1">
        <v>0.35416666666666669</v>
      </c>
      <c r="G112" t="s">
        <v>28</v>
      </c>
      <c r="H112" t="s">
        <v>25</v>
      </c>
      <c r="I112">
        <v>2426.9</v>
      </c>
      <c r="J112">
        <v>2426.9</v>
      </c>
      <c r="K112" t="s">
        <v>34</v>
      </c>
      <c r="L112" t="str">
        <f>TEXT(Table2[[#This Row],[appointment_date]],"mmmm")</f>
        <v>June</v>
      </c>
    </row>
    <row r="113" spans="1:12" x14ac:dyDescent="0.3">
      <c r="A113" t="s">
        <v>178</v>
      </c>
      <c r="B113" t="s">
        <v>94</v>
      </c>
      <c r="C113" t="s">
        <v>47</v>
      </c>
      <c r="D113" t="s">
        <v>38</v>
      </c>
      <c r="E113" s="5">
        <v>45104</v>
      </c>
      <c r="F113" s="1">
        <v>0.625</v>
      </c>
      <c r="G113" t="s">
        <v>39</v>
      </c>
      <c r="H113" t="s">
        <v>16</v>
      </c>
      <c r="I113">
        <v>4450.88</v>
      </c>
      <c r="J113">
        <v>4450.88</v>
      </c>
      <c r="K113" t="s">
        <v>34</v>
      </c>
      <c r="L113" t="str">
        <f>TEXT(Table2[[#This Row],[appointment_date]],"mmmm")</f>
        <v>June</v>
      </c>
    </row>
    <row r="114" spans="1:12" x14ac:dyDescent="0.3">
      <c r="A114" t="s">
        <v>179</v>
      </c>
      <c r="B114" t="s">
        <v>46</v>
      </c>
      <c r="C114" t="s">
        <v>20</v>
      </c>
      <c r="D114" t="s">
        <v>21</v>
      </c>
      <c r="E114" s="5">
        <v>45105</v>
      </c>
      <c r="F114" s="1">
        <v>0.33333333333333331</v>
      </c>
      <c r="G114" t="s">
        <v>28</v>
      </c>
      <c r="H114" t="s">
        <v>29</v>
      </c>
      <c r="I114">
        <v>3731.55</v>
      </c>
      <c r="J114">
        <v>3731.55</v>
      </c>
      <c r="K114" t="s">
        <v>17</v>
      </c>
      <c r="L114" t="str">
        <f>TEXT(Table2[[#This Row],[appointment_date]],"mmmm")</f>
        <v>June</v>
      </c>
    </row>
    <row r="115" spans="1:12" x14ac:dyDescent="0.3">
      <c r="A115" t="s">
        <v>180</v>
      </c>
      <c r="B115" t="s">
        <v>99</v>
      </c>
      <c r="C115" t="s">
        <v>20</v>
      </c>
      <c r="D115" t="s">
        <v>21</v>
      </c>
      <c r="E115" s="5">
        <v>45106</v>
      </c>
      <c r="F115" s="1">
        <v>0.375</v>
      </c>
      <c r="G115" t="s">
        <v>48</v>
      </c>
      <c r="H115" t="s">
        <v>25</v>
      </c>
      <c r="I115">
        <v>1256.06</v>
      </c>
      <c r="J115">
        <v>1256.06</v>
      </c>
      <c r="K115" t="s">
        <v>30</v>
      </c>
      <c r="L115" t="str">
        <f>TEXT(Table2[[#This Row],[appointment_date]],"mmmm")</f>
        <v>June</v>
      </c>
    </row>
    <row r="116" spans="1:12" x14ac:dyDescent="0.3">
      <c r="A116" t="s">
        <v>181</v>
      </c>
      <c r="B116" t="s">
        <v>36</v>
      </c>
      <c r="C116" t="s">
        <v>42</v>
      </c>
      <c r="D116" t="s">
        <v>14</v>
      </c>
      <c r="E116" s="5">
        <v>45107</v>
      </c>
      <c r="F116" s="1">
        <v>0.45833333333333331</v>
      </c>
      <c r="G116" t="s">
        <v>28</v>
      </c>
      <c r="H116" t="s">
        <v>25</v>
      </c>
      <c r="I116">
        <v>2686.42</v>
      </c>
      <c r="J116">
        <v>2686.42</v>
      </c>
      <c r="K116" t="s">
        <v>17</v>
      </c>
      <c r="L116" t="str">
        <f>TEXT(Table2[[#This Row],[appointment_date]],"mmmm")</f>
        <v>June</v>
      </c>
    </row>
    <row r="117" spans="1:12" x14ac:dyDescent="0.3">
      <c r="A117" t="s">
        <v>182</v>
      </c>
      <c r="B117" t="s">
        <v>137</v>
      </c>
      <c r="C117" t="s">
        <v>37</v>
      </c>
      <c r="D117" t="s">
        <v>38</v>
      </c>
      <c r="E117" s="5">
        <v>45111</v>
      </c>
      <c r="F117" s="1">
        <v>0.625</v>
      </c>
      <c r="G117" t="s">
        <v>24</v>
      </c>
      <c r="H117" t="s">
        <v>51</v>
      </c>
      <c r="I117">
        <v>4101.6000000000004</v>
      </c>
      <c r="J117">
        <v>4101.6000000000004</v>
      </c>
      <c r="K117" t="s">
        <v>34</v>
      </c>
      <c r="L117" t="str">
        <f>TEXT(Table2[[#This Row],[appointment_date]],"mmmm")</f>
        <v>July</v>
      </c>
    </row>
    <row r="118" spans="1:12" x14ac:dyDescent="0.3">
      <c r="A118" t="s">
        <v>183</v>
      </c>
      <c r="B118" t="s">
        <v>70</v>
      </c>
      <c r="C118" t="s">
        <v>19</v>
      </c>
      <c r="D118" t="s">
        <v>21</v>
      </c>
      <c r="E118" s="5">
        <v>45113</v>
      </c>
      <c r="F118" s="1">
        <v>0.53125</v>
      </c>
      <c r="G118" t="s">
        <v>15</v>
      </c>
      <c r="H118" t="s">
        <v>16</v>
      </c>
      <c r="I118">
        <v>582.04999999999995</v>
      </c>
      <c r="J118">
        <v>582.04999999999995</v>
      </c>
      <c r="K118" t="s">
        <v>34</v>
      </c>
      <c r="L118" t="str">
        <f>TEXT(Table2[[#This Row],[appointment_date]],"mmmm")</f>
        <v>July</v>
      </c>
    </row>
    <row r="119" spans="1:12" x14ac:dyDescent="0.3">
      <c r="A119" t="s">
        <v>184</v>
      </c>
      <c r="B119" t="s">
        <v>94</v>
      </c>
      <c r="C119" t="s">
        <v>59</v>
      </c>
      <c r="D119" t="s">
        <v>21</v>
      </c>
      <c r="E119" s="5">
        <v>45114</v>
      </c>
      <c r="F119" s="1">
        <v>0.38541666666666669</v>
      </c>
      <c r="G119" t="s">
        <v>48</v>
      </c>
      <c r="H119" t="s">
        <v>16</v>
      </c>
      <c r="I119">
        <v>1288.8599999999999</v>
      </c>
      <c r="J119">
        <v>1288.8599999999999</v>
      </c>
      <c r="K119" t="s">
        <v>17</v>
      </c>
      <c r="L119" t="str">
        <f>TEXT(Table2[[#This Row],[appointment_date]],"mmmm")</f>
        <v>July</v>
      </c>
    </row>
    <row r="120" spans="1:12" x14ac:dyDescent="0.3">
      <c r="A120" t="s">
        <v>185</v>
      </c>
      <c r="B120" t="s">
        <v>72</v>
      </c>
      <c r="C120" t="s">
        <v>19</v>
      </c>
      <c r="D120" t="s">
        <v>21</v>
      </c>
      <c r="E120" s="5">
        <v>45114</v>
      </c>
      <c r="F120" s="1">
        <v>0.625</v>
      </c>
      <c r="G120" t="s">
        <v>28</v>
      </c>
      <c r="H120" t="s">
        <v>51</v>
      </c>
      <c r="I120">
        <v>812.41</v>
      </c>
      <c r="J120">
        <v>812.41</v>
      </c>
      <c r="K120" t="s">
        <v>34</v>
      </c>
      <c r="L120" t="str">
        <f>TEXT(Table2[[#This Row],[appointment_date]],"mmmm")</f>
        <v>July</v>
      </c>
    </row>
    <row r="121" spans="1:12" x14ac:dyDescent="0.3">
      <c r="A121" t="s">
        <v>186</v>
      </c>
      <c r="B121" t="s">
        <v>12</v>
      </c>
      <c r="C121" t="s">
        <v>59</v>
      </c>
      <c r="D121" t="s">
        <v>21</v>
      </c>
      <c r="E121" s="5">
        <v>45115</v>
      </c>
      <c r="F121" s="1">
        <v>0.53125</v>
      </c>
      <c r="G121" t="s">
        <v>28</v>
      </c>
      <c r="H121" t="s">
        <v>51</v>
      </c>
      <c r="I121">
        <v>2820.56</v>
      </c>
      <c r="J121">
        <v>2820.56</v>
      </c>
      <c r="K121" t="s">
        <v>17</v>
      </c>
      <c r="L121" t="str">
        <f>TEXT(Table2[[#This Row],[appointment_date]],"mmmm")</f>
        <v>July</v>
      </c>
    </row>
    <row r="122" spans="1:12" x14ac:dyDescent="0.3">
      <c r="A122" t="s">
        <v>187</v>
      </c>
      <c r="B122" t="s">
        <v>74</v>
      </c>
      <c r="C122" t="s">
        <v>42</v>
      </c>
      <c r="D122" t="s">
        <v>14</v>
      </c>
      <c r="E122" s="5">
        <v>45118</v>
      </c>
      <c r="F122" s="1">
        <v>0.60416666666666663</v>
      </c>
      <c r="G122" t="s">
        <v>39</v>
      </c>
      <c r="H122" t="s">
        <v>29</v>
      </c>
      <c r="I122">
        <v>3902.73</v>
      </c>
      <c r="J122">
        <v>3902.73</v>
      </c>
      <c r="K122" t="s">
        <v>30</v>
      </c>
      <c r="L122" t="str">
        <f>TEXT(Table2[[#This Row],[appointment_date]],"mmmm")</f>
        <v>July</v>
      </c>
    </row>
    <row r="123" spans="1:12" x14ac:dyDescent="0.3">
      <c r="A123" t="s">
        <v>188</v>
      </c>
      <c r="B123" t="s">
        <v>85</v>
      </c>
      <c r="C123" t="s">
        <v>59</v>
      </c>
      <c r="D123" t="s">
        <v>21</v>
      </c>
      <c r="E123" s="5">
        <v>45118</v>
      </c>
      <c r="F123" s="1">
        <v>0.70833333333333337</v>
      </c>
      <c r="G123" t="s">
        <v>15</v>
      </c>
      <c r="H123" t="s">
        <v>25</v>
      </c>
      <c r="I123">
        <v>1655.49</v>
      </c>
      <c r="J123">
        <v>1655.49</v>
      </c>
      <c r="K123" t="s">
        <v>34</v>
      </c>
      <c r="L123" t="str">
        <f>TEXT(Table2[[#This Row],[appointment_date]],"mmmm")</f>
        <v>July</v>
      </c>
    </row>
    <row r="124" spans="1:12" x14ac:dyDescent="0.3">
      <c r="A124" t="s">
        <v>189</v>
      </c>
      <c r="B124" t="s">
        <v>82</v>
      </c>
      <c r="C124" t="s">
        <v>47</v>
      </c>
      <c r="D124" t="s">
        <v>38</v>
      </c>
      <c r="E124" s="5">
        <v>45119</v>
      </c>
      <c r="F124" s="1">
        <v>0.51041666666666663</v>
      </c>
      <c r="G124" t="s">
        <v>24</v>
      </c>
      <c r="H124" t="s">
        <v>51</v>
      </c>
      <c r="I124">
        <v>1438.3</v>
      </c>
      <c r="J124">
        <v>1438.3</v>
      </c>
      <c r="K124" t="s">
        <v>17</v>
      </c>
      <c r="L124" t="str">
        <f>TEXT(Table2[[#This Row],[appointment_date]],"mmmm")</f>
        <v>July</v>
      </c>
    </row>
    <row r="125" spans="1:12" x14ac:dyDescent="0.3">
      <c r="A125" t="s">
        <v>190</v>
      </c>
      <c r="B125" t="s">
        <v>36</v>
      </c>
      <c r="C125" t="s">
        <v>42</v>
      </c>
      <c r="D125" t="s">
        <v>14</v>
      </c>
      <c r="E125" s="5">
        <v>45119</v>
      </c>
      <c r="F125" s="1">
        <v>0.39583333333333331</v>
      </c>
      <c r="G125" t="s">
        <v>39</v>
      </c>
      <c r="H125" t="s">
        <v>16</v>
      </c>
      <c r="I125">
        <v>2090.4</v>
      </c>
      <c r="J125">
        <v>2090.4</v>
      </c>
      <c r="K125" t="s">
        <v>17</v>
      </c>
      <c r="L125" t="str">
        <f>TEXT(Table2[[#This Row],[appointment_date]],"mmmm")</f>
        <v>July</v>
      </c>
    </row>
    <row r="126" spans="1:12" x14ac:dyDescent="0.3">
      <c r="A126" t="s">
        <v>191</v>
      </c>
      <c r="B126" t="s">
        <v>23</v>
      </c>
      <c r="C126" t="s">
        <v>54</v>
      </c>
      <c r="D126" t="s">
        <v>14</v>
      </c>
      <c r="E126" s="5">
        <v>45126</v>
      </c>
      <c r="F126" s="1">
        <v>0.60416666666666663</v>
      </c>
      <c r="G126" t="s">
        <v>28</v>
      </c>
      <c r="H126" t="s">
        <v>25</v>
      </c>
      <c r="I126">
        <v>3010.03</v>
      </c>
      <c r="J126">
        <v>3010.03</v>
      </c>
      <c r="K126" t="s">
        <v>30</v>
      </c>
      <c r="L126" t="str">
        <f>TEXT(Table2[[#This Row],[appointment_date]],"mmmm")</f>
        <v>July</v>
      </c>
    </row>
    <row r="127" spans="1:12" x14ac:dyDescent="0.3">
      <c r="A127" t="s">
        <v>192</v>
      </c>
      <c r="B127" t="s">
        <v>36</v>
      </c>
      <c r="C127" t="s">
        <v>54</v>
      </c>
      <c r="D127" t="s">
        <v>14</v>
      </c>
      <c r="E127" s="5">
        <v>45130</v>
      </c>
      <c r="F127" s="1">
        <v>0.5625</v>
      </c>
      <c r="G127" t="s">
        <v>39</v>
      </c>
      <c r="H127" t="s">
        <v>16</v>
      </c>
      <c r="I127">
        <v>3175.14</v>
      </c>
      <c r="J127">
        <v>3175.14</v>
      </c>
      <c r="K127" t="s">
        <v>30</v>
      </c>
      <c r="L127" t="str">
        <f>TEXT(Table2[[#This Row],[appointment_date]],"mmmm")</f>
        <v>July</v>
      </c>
    </row>
    <row r="128" spans="1:12" x14ac:dyDescent="0.3">
      <c r="A128" t="s">
        <v>193</v>
      </c>
      <c r="B128" t="s">
        <v>76</v>
      </c>
      <c r="C128" t="s">
        <v>42</v>
      </c>
      <c r="D128" t="s">
        <v>14</v>
      </c>
      <c r="E128" s="5">
        <v>45131</v>
      </c>
      <c r="F128" s="1">
        <v>0.69791666666666663</v>
      </c>
      <c r="G128" t="s">
        <v>48</v>
      </c>
      <c r="H128" t="s">
        <v>29</v>
      </c>
      <c r="I128">
        <v>2313.41</v>
      </c>
      <c r="J128">
        <v>2313.41</v>
      </c>
      <c r="K128" t="s">
        <v>34</v>
      </c>
      <c r="L128" t="str">
        <f>TEXT(Table2[[#This Row],[appointment_date]],"mmmm")</f>
        <v>July</v>
      </c>
    </row>
    <row r="129" spans="1:12" x14ac:dyDescent="0.3">
      <c r="A129" t="s">
        <v>194</v>
      </c>
      <c r="B129" t="s">
        <v>151</v>
      </c>
      <c r="C129" t="s">
        <v>67</v>
      </c>
      <c r="D129" t="s">
        <v>21</v>
      </c>
      <c r="E129" s="5">
        <v>45133</v>
      </c>
      <c r="F129" s="1">
        <v>0.44791666666666669</v>
      </c>
      <c r="G129" t="s">
        <v>24</v>
      </c>
      <c r="H129" t="s">
        <v>29</v>
      </c>
      <c r="I129">
        <v>2929.81</v>
      </c>
      <c r="J129">
        <v>2929.81</v>
      </c>
      <c r="K129" t="s">
        <v>30</v>
      </c>
      <c r="L129" t="str">
        <f>TEXT(Table2[[#This Row],[appointment_date]],"mmmm")</f>
        <v>July</v>
      </c>
    </row>
    <row r="130" spans="1:12" x14ac:dyDescent="0.3">
      <c r="A130" t="s">
        <v>195</v>
      </c>
      <c r="B130" t="s">
        <v>196</v>
      </c>
      <c r="C130" t="s">
        <v>67</v>
      </c>
      <c r="D130" t="s">
        <v>21</v>
      </c>
      <c r="E130" s="5">
        <v>45133</v>
      </c>
      <c r="F130" s="1">
        <v>0.52083333333333337</v>
      </c>
      <c r="G130" t="s">
        <v>48</v>
      </c>
      <c r="H130" t="s">
        <v>51</v>
      </c>
      <c r="I130">
        <v>1874.86</v>
      </c>
      <c r="J130">
        <v>1874.86</v>
      </c>
      <c r="K130" t="s">
        <v>30</v>
      </c>
      <c r="L130" t="str">
        <f>TEXT(Table2[[#This Row],[appointment_date]],"mmmm")</f>
        <v>July</v>
      </c>
    </row>
    <row r="131" spans="1:12" x14ac:dyDescent="0.3">
      <c r="A131" t="s">
        <v>197</v>
      </c>
      <c r="B131" t="s">
        <v>198</v>
      </c>
      <c r="C131" t="s">
        <v>42</v>
      </c>
      <c r="D131" t="s">
        <v>14</v>
      </c>
      <c r="E131" s="5">
        <v>45135</v>
      </c>
      <c r="F131" s="1">
        <v>0.71875</v>
      </c>
      <c r="G131" t="s">
        <v>39</v>
      </c>
      <c r="H131" t="s">
        <v>29</v>
      </c>
      <c r="I131">
        <v>4406.26</v>
      </c>
      <c r="J131">
        <v>4406.26</v>
      </c>
      <c r="K131" t="s">
        <v>30</v>
      </c>
      <c r="L131" t="str">
        <f>TEXT(Table2[[#This Row],[appointment_date]],"mmmm")</f>
        <v>July</v>
      </c>
    </row>
    <row r="132" spans="1:12" x14ac:dyDescent="0.3">
      <c r="A132" t="s">
        <v>199</v>
      </c>
      <c r="B132" t="s">
        <v>12</v>
      </c>
      <c r="C132" t="s">
        <v>54</v>
      </c>
      <c r="D132" t="s">
        <v>14</v>
      </c>
      <c r="E132" s="5">
        <v>45136</v>
      </c>
      <c r="F132" s="1">
        <v>0.58333333333333337</v>
      </c>
      <c r="G132" t="s">
        <v>48</v>
      </c>
      <c r="H132" t="s">
        <v>25</v>
      </c>
      <c r="I132">
        <v>3478.28</v>
      </c>
      <c r="J132">
        <v>3478.28</v>
      </c>
      <c r="K132" t="s">
        <v>34</v>
      </c>
      <c r="L132" t="str">
        <f>TEXT(Table2[[#This Row],[appointment_date]],"mmmm")</f>
        <v>July</v>
      </c>
    </row>
    <row r="133" spans="1:12" x14ac:dyDescent="0.3">
      <c r="A133" t="s">
        <v>200</v>
      </c>
      <c r="B133" t="s">
        <v>99</v>
      </c>
      <c r="C133" t="s">
        <v>13</v>
      </c>
      <c r="D133" t="s">
        <v>14</v>
      </c>
      <c r="E133" s="5">
        <v>45146</v>
      </c>
      <c r="F133" s="1">
        <v>0.375</v>
      </c>
      <c r="G133" t="s">
        <v>39</v>
      </c>
      <c r="H133" t="s">
        <v>51</v>
      </c>
      <c r="I133">
        <v>3030.34</v>
      </c>
      <c r="J133">
        <v>3030.34</v>
      </c>
      <c r="K133" t="s">
        <v>34</v>
      </c>
      <c r="L133" t="str">
        <f>TEXT(Table2[[#This Row],[appointment_date]],"mmmm")</f>
        <v>August</v>
      </c>
    </row>
    <row r="134" spans="1:12" x14ac:dyDescent="0.3">
      <c r="A134" t="s">
        <v>201</v>
      </c>
      <c r="B134" t="s">
        <v>53</v>
      </c>
      <c r="C134" t="s">
        <v>19</v>
      </c>
      <c r="D134" t="s">
        <v>21</v>
      </c>
      <c r="E134" s="5">
        <v>45147</v>
      </c>
      <c r="F134" s="1">
        <v>0.34375</v>
      </c>
      <c r="G134" t="s">
        <v>28</v>
      </c>
      <c r="H134" t="s">
        <v>25</v>
      </c>
      <c r="I134">
        <v>1404.2</v>
      </c>
      <c r="J134">
        <v>1404.2</v>
      </c>
      <c r="K134" t="s">
        <v>30</v>
      </c>
      <c r="L134" t="str">
        <f>TEXT(Table2[[#This Row],[appointment_date]],"mmmm")</f>
        <v>August</v>
      </c>
    </row>
    <row r="135" spans="1:12" x14ac:dyDescent="0.3">
      <c r="A135" t="s">
        <v>202</v>
      </c>
      <c r="B135" t="s">
        <v>113</v>
      </c>
      <c r="C135" t="s">
        <v>59</v>
      </c>
      <c r="D135" t="s">
        <v>21</v>
      </c>
      <c r="E135" s="5">
        <v>45147</v>
      </c>
      <c r="F135" s="1">
        <v>0.63541666666666663</v>
      </c>
      <c r="G135" t="s">
        <v>39</v>
      </c>
      <c r="H135" t="s">
        <v>25</v>
      </c>
      <c r="I135">
        <v>3941.97</v>
      </c>
      <c r="J135">
        <v>3941.97</v>
      </c>
      <c r="K135" t="s">
        <v>34</v>
      </c>
      <c r="L135" t="str">
        <f>TEXT(Table2[[#This Row],[appointment_date]],"mmmm")</f>
        <v>August</v>
      </c>
    </row>
    <row r="136" spans="1:12" x14ac:dyDescent="0.3">
      <c r="A136" t="s">
        <v>203</v>
      </c>
      <c r="B136" t="s">
        <v>42</v>
      </c>
      <c r="C136" t="s">
        <v>13</v>
      </c>
      <c r="D136" t="s">
        <v>14</v>
      </c>
      <c r="E136" s="5">
        <v>45148</v>
      </c>
      <c r="F136" s="1">
        <v>0.45833333333333331</v>
      </c>
      <c r="G136" t="s">
        <v>48</v>
      </c>
      <c r="H136" t="s">
        <v>25</v>
      </c>
      <c r="I136">
        <v>930.72</v>
      </c>
      <c r="J136">
        <v>930.72</v>
      </c>
      <c r="K136" t="s">
        <v>34</v>
      </c>
      <c r="L136" t="str">
        <f>TEXT(Table2[[#This Row],[appointment_date]],"mmmm")</f>
        <v>August</v>
      </c>
    </row>
    <row r="137" spans="1:12" x14ac:dyDescent="0.3">
      <c r="A137" t="s">
        <v>204</v>
      </c>
      <c r="B137" t="s">
        <v>36</v>
      </c>
      <c r="C137" t="s">
        <v>19</v>
      </c>
      <c r="D137" t="s">
        <v>21</v>
      </c>
      <c r="E137" s="5">
        <v>45152</v>
      </c>
      <c r="F137" s="1">
        <v>0.66666666666666663</v>
      </c>
      <c r="G137" t="s">
        <v>24</v>
      </c>
      <c r="H137" t="s">
        <v>16</v>
      </c>
      <c r="I137">
        <v>1959.5</v>
      </c>
      <c r="J137">
        <v>1959.5</v>
      </c>
      <c r="K137" t="s">
        <v>34</v>
      </c>
      <c r="L137" t="str">
        <f>TEXT(Table2[[#This Row],[appointment_date]],"mmmm")</f>
        <v>August</v>
      </c>
    </row>
    <row r="138" spans="1:12" x14ac:dyDescent="0.3">
      <c r="A138" t="s">
        <v>205</v>
      </c>
      <c r="B138" t="s">
        <v>105</v>
      </c>
      <c r="C138" t="s">
        <v>42</v>
      </c>
      <c r="D138" t="s">
        <v>14</v>
      </c>
      <c r="E138" s="5">
        <v>45154</v>
      </c>
      <c r="F138" s="1">
        <v>0.625</v>
      </c>
      <c r="G138" t="s">
        <v>28</v>
      </c>
      <c r="H138" t="s">
        <v>16</v>
      </c>
      <c r="I138">
        <v>4279.38</v>
      </c>
      <c r="J138">
        <v>4279.38</v>
      </c>
      <c r="K138" t="s">
        <v>30</v>
      </c>
      <c r="L138" t="str">
        <f>TEXT(Table2[[#This Row],[appointment_date]],"mmmm")</f>
        <v>August</v>
      </c>
    </row>
    <row r="139" spans="1:12" x14ac:dyDescent="0.3">
      <c r="A139" t="s">
        <v>206</v>
      </c>
      <c r="B139" t="s">
        <v>74</v>
      </c>
      <c r="C139" t="s">
        <v>33</v>
      </c>
      <c r="D139" t="s">
        <v>21</v>
      </c>
      <c r="E139" s="5">
        <v>45154</v>
      </c>
      <c r="F139" s="1">
        <v>0.51041666666666663</v>
      </c>
      <c r="G139" t="s">
        <v>24</v>
      </c>
      <c r="H139" t="s">
        <v>16</v>
      </c>
      <c r="I139">
        <v>1684.01</v>
      </c>
      <c r="J139">
        <v>1684.01</v>
      </c>
      <c r="K139" t="s">
        <v>30</v>
      </c>
      <c r="L139" t="str">
        <f>TEXT(Table2[[#This Row],[appointment_date]],"mmmm")</f>
        <v>August</v>
      </c>
    </row>
    <row r="140" spans="1:12" x14ac:dyDescent="0.3">
      <c r="A140" t="s">
        <v>207</v>
      </c>
      <c r="B140" t="s">
        <v>151</v>
      </c>
      <c r="C140" t="s">
        <v>19</v>
      </c>
      <c r="D140" t="s">
        <v>21</v>
      </c>
      <c r="E140" s="5">
        <v>45154</v>
      </c>
      <c r="F140" s="1">
        <v>0.44791666666666669</v>
      </c>
      <c r="G140" t="s">
        <v>39</v>
      </c>
      <c r="H140" t="s">
        <v>51</v>
      </c>
      <c r="I140">
        <v>2286.42</v>
      </c>
      <c r="J140">
        <v>2286.42</v>
      </c>
      <c r="K140" t="s">
        <v>17</v>
      </c>
      <c r="L140" t="str">
        <f>TEXT(Table2[[#This Row],[appointment_date]],"mmmm")</f>
        <v>August</v>
      </c>
    </row>
    <row r="141" spans="1:12" x14ac:dyDescent="0.3">
      <c r="A141" t="s">
        <v>208</v>
      </c>
      <c r="B141" t="s">
        <v>209</v>
      </c>
      <c r="C141" t="s">
        <v>37</v>
      </c>
      <c r="D141" t="s">
        <v>38</v>
      </c>
      <c r="E141" s="5">
        <v>45154</v>
      </c>
      <c r="F141" s="1">
        <v>0.52083333333333337</v>
      </c>
      <c r="G141" t="s">
        <v>39</v>
      </c>
      <c r="H141" t="s">
        <v>29</v>
      </c>
      <c r="I141">
        <v>4379.07</v>
      </c>
      <c r="J141">
        <v>4379.07</v>
      </c>
      <c r="K141" t="s">
        <v>34</v>
      </c>
      <c r="L141" t="str">
        <f>TEXT(Table2[[#This Row],[appointment_date]],"mmmm")</f>
        <v>August</v>
      </c>
    </row>
    <row r="142" spans="1:12" x14ac:dyDescent="0.3">
      <c r="A142" t="s">
        <v>210</v>
      </c>
      <c r="B142" t="s">
        <v>211</v>
      </c>
      <c r="C142" t="s">
        <v>67</v>
      </c>
      <c r="D142" t="s">
        <v>21</v>
      </c>
      <c r="E142" s="5">
        <v>45154</v>
      </c>
      <c r="F142" s="1">
        <v>0.5</v>
      </c>
      <c r="G142" t="s">
        <v>15</v>
      </c>
      <c r="H142" t="s">
        <v>25</v>
      </c>
      <c r="I142">
        <v>4704.96</v>
      </c>
      <c r="J142">
        <v>4704.96</v>
      </c>
      <c r="K142" t="s">
        <v>17</v>
      </c>
      <c r="L142" t="str">
        <f>TEXT(Table2[[#This Row],[appointment_date]],"mmmm")</f>
        <v>August</v>
      </c>
    </row>
    <row r="143" spans="1:12" x14ac:dyDescent="0.3">
      <c r="A143" t="s">
        <v>212</v>
      </c>
      <c r="B143" t="s">
        <v>46</v>
      </c>
      <c r="C143" t="s">
        <v>47</v>
      </c>
      <c r="D143" t="s">
        <v>38</v>
      </c>
      <c r="E143" s="5">
        <v>45157</v>
      </c>
      <c r="F143" s="1">
        <v>0.71875</v>
      </c>
      <c r="G143" t="s">
        <v>24</v>
      </c>
      <c r="H143" t="s">
        <v>25</v>
      </c>
      <c r="I143">
        <v>2777.64</v>
      </c>
      <c r="J143">
        <v>2777.64</v>
      </c>
      <c r="K143" t="s">
        <v>30</v>
      </c>
      <c r="L143" t="str">
        <f>TEXT(Table2[[#This Row],[appointment_date]],"mmmm")</f>
        <v>August</v>
      </c>
    </row>
    <row r="144" spans="1:12" x14ac:dyDescent="0.3">
      <c r="A144" t="s">
        <v>213</v>
      </c>
      <c r="B144" t="s">
        <v>88</v>
      </c>
      <c r="C144" t="s">
        <v>33</v>
      </c>
      <c r="D144" t="s">
        <v>21</v>
      </c>
      <c r="E144" s="5">
        <v>45163</v>
      </c>
      <c r="F144" s="1">
        <v>0.39583333333333331</v>
      </c>
      <c r="G144" t="s">
        <v>24</v>
      </c>
      <c r="H144" t="s">
        <v>29</v>
      </c>
      <c r="I144">
        <v>1185.8699999999999</v>
      </c>
      <c r="J144">
        <v>1185.8699999999999</v>
      </c>
      <c r="K144" t="s">
        <v>34</v>
      </c>
      <c r="L144" t="str">
        <f>TEXT(Table2[[#This Row],[appointment_date]],"mmmm")</f>
        <v>August</v>
      </c>
    </row>
    <row r="145" spans="1:12" x14ac:dyDescent="0.3">
      <c r="A145" t="s">
        <v>214</v>
      </c>
      <c r="B145" t="s">
        <v>211</v>
      </c>
      <c r="C145" t="s">
        <v>19</v>
      </c>
      <c r="D145" t="s">
        <v>21</v>
      </c>
      <c r="E145" s="5">
        <v>45164</v>
      </c>
      <c r="F145" s="1">
        <v>0.70833333333333337</v>
      </c>
      <c r="G145" t="s">
        <v>48</v>
      </c>
      <c r="H145" t="s">
        <v>25</v>
      </c>
      <c r="I145">
        <v>3231.92</v>
      </c>
      <c r="J145">
        <v>3231.92</v>
      </c>
      <c r="K145" t="s">
        <v>34</v>
      </c>
      <c r="L145" t="str">
        <f>TEXT(Table2[[#This Row],[appointment_date]],"mmmm")</f>
        <v>August</v>
      </c>
    </row>
    <row r="146" spans="1:12" x14ac:dyDescent="0.3">
      <c r="A146" t="s">
        <v>215</v>
      </c>
      <c r="B146" t="s">
        <v>56</v>
      </c>
      <c r="C146" t="s">
        <v>54</v>
      </c>
      <c r="D146" t="s">
        <v>14</v>
      </c>
      <c r="E146" s="5">
        <v>45167</v>
      </c>
      <c r="F146" s="1">
        <v>0.55208333333333337</v>
      </c>
      <c r="G146" t="s">
        <v>24</v>
      </c>
      <c r="H146" t="s">
        <v>51</v>
      </c>
      <c r="I146">
        <v>1316.47</v>
      </c>
      <c r="J146">
        <v>1316.47</v>
      </c>
      <c r="K146" t="s">
        <v>34</v>
      </c>
      <c r="L146" t="str">
        <f>TEXT(Table2[[#This Row],[appointment_date]],"mmmm")</f>
        <v>August</v>
      </c>
    </row>
    <row r="147" spans="1:12" x14ac:dyDescent="0.3">
      <c r="A147" t="s">
        <v>216</v>
      </c>
      <c r="B147" t="s">
        <v>76</v>
      </c>
      <c r="C147" t="s">
        <v>54</v>
      </c>
      <c r="D147" t="s">
        <v>14</v>
      </c>
      <c r="E147" s="5">
        <v>45169</v>
      </c>
      <c r="F147" s="1">
        <v>0.59375</v>
      </c>
      <c r="G147" t="s">
        <v>28</v>
      </c>
      <c r="H147" t="s">
        <v>29</v>
      </c>
      <c r="I147">
        <v>4846.2</v>
      </c>
      <c r="J147">
        <v>4846.2</v>
      </c>
      <c r="K147" t="s">
        <v>17</v>
      </c>
      <c r="L147" t="str">
        <f>TEXT(Table2[[#This Row],[appointment_date]],"mmmm")</f>
        <v>August</v>
      </c>
    </row>
    <row r="148" spans="1:12" x14ac:dyDescent="0.3">
      <c r="A148" t="s">
        <v>217</v>
      </c>
      <c r="B148" t="s">
        <v>27</v>
      </c>
      <c r="C148" t="s">
        <v>33</v>
      </c>
      <c r="D148" t="s">
        <v>21</v>
      </c>
      <c r="E148" s="5">
        <v>45170</v>
      </c>
      <c r="F148" s="1">
        <v>0.38541666666666669</v>
      </c>
      <c r="G148" t="s">
        <v>28</v>
      </c>
      <c r="H148" t="s">
        <v>29</v>
      </c>
      <c r="I148">
        <v>4799.8599999999997</v>
      </c>
      <c r="J148">
        <v>4799.8599999999997</v>
      </c>
      <c r="K148" t="s">
        <v>30</v>
      </c>
      <c r="L148" t="str">
        <f>TEXT(Table2[[#This Row],[appointment_date]],"mmmm")</f>
        <v>September</v>
      </c>
    </row>
    <row r="149" spans="1:12" x14ac:dyDescent="0.3">
      <c r="A149" t="s">
        <v>218</v>
      </c>
      <c r="B149" t="s">
        <v>36</v>
      </c>
      <c r="C149" t="s">
        <v>20</v>
      </c>
      <c r="D149" t="s">
        <v>21</v>
      </c>
      <c r="E149" s="5">
        <v>45172</v>
      </c>
      <c r="F149" s="1">
        <v>0.55208333333333337</v>
      </c>
      <c r="G149" t="s">
        <v>15</v>
      </c>
      <c r="H149" t="s">
        <v>51</v>
      </c>
      <c r="I149">
        <v>3941.64</v>
      </c>
      <c r="J149">
        <v>3941.64</v>
      </c>
      <c r="K149" t="s">
        <v>30</v>
      </c>
      <c r="L149" t="str">
        <f>TEXT(Table2[[#This Row],[appointment_date]],"mmmm")</f>
        <v>September</v>
      </c>
    </row>
    <row r="150" spans="1:12" x14ac:dyDescent="0.3">
      <c r="A150" t="s">
        <v>219</v>
      </c>
      <c r="B150" t="s">
        <v>158</v>
      </c>
      <c r="C150" t="s">
        <v>54</v>
      </c>
      <c r="D150" t="s">
        <v>14</v>
      </c>
      <c r="E150" s="5">
        <v>45178</v>
      </c>
      <c r="F150" s="1">
        <v>0.6875</v>
      </c>
      <c r="G150" t="s">
        <v>39</v>
      </c>
      <c r="H150" t="s">
        <v>25</v>
      </c>
      <c r="I150">
        <v>3306.14</v>
      </c>
      <c r="J150">
        <v>3306.14</v>
      </c>
      <c r="K150" t="s">
        <v>34</v>
      </c>
      <c r="L150" t="str">
        <f>TEXT(Table2[[#This Row],[appointment_date]],"mmmm")</f>
        <v>September</v>
      </c>
    </row>
    <row r="151" spans="1:12" x14ac:dyDescent="0.3">
      <c r="A151" t="s">
        <v>220</v>
      </c>
      <c r="B151" t="s">
        <v>196</v>
      </c>
      <c r="C151" t="s">
        <v>54</v>
      </c>
      <c r="D151" t="s">
        <v>14</v>
      </c>
      <c r="E151" s="5">
        <v>45184</v>
      </c>
      <c r="F151" s="1">
        <v>0.34375</v>
      </c>
      <c r="G151" t="s">
        <v>39</v>
      </c>
      <c r="H151" t="s">
        <v>29</v>
      </c>
      <c r="I151">
        <v>2446.2399999999998</v>
      </c>
      <c r="J151">
        <v>2446.2399999999998</v>
      </c>
      <c r="K151" t="s">
        <v>30</v>
      </c>
      <c r="L151" t="str">
        <f>TEXT(Table2[[#This Row],[appointment_date]],"mmmm")</f>
        <v>September</v>
      </c>
    </row>
    <row r="152" spans="1:12" x14ac:dyDescent="0.3">
      <c r="A152" t="s">
        <v>221</v>
      </c>
      <c r="B152" t="s">
        <v>102</v>
      </c>
      <c r="C152" t="s">
        <v>42</v>
      </c>
      <c r="D152" t="s">
        <v>14</v>
      </c>
      <c r="E152" s="5">
        <v>45186</v>
      </c>
      <c r="F152" s="1">
        <v>0.46875</v>
      </c>
      <c r="G152" t="s">
        <v>28</v>
      </c>
      <c r="H152" t="s">
        <v>16</v>
      </c>
      <c r="I152">
        <v>3628.15</v>
      </c>
      <c r="J152">
        <v>3628.15</v>
      </c>
      <c r="K152" t="s">
        <v>17</v>
      </c>
      <c r="L152" t="str">
        <f>TEXT(Table2[[#This Row],[appointment_date]],"mmmm")</f>
        <v>September</v>
      </c>
    </row>
    <row r="153" spans="1:12" x14ac:dyDescent="0.3">
      <c r="A153" t="s">
        <v>222</v>
      </c>
      <c r="B153" t="s">
        <v>118</v>
      </c>
      <c r="C153" t="s">
        <v>33</v>
      </c>
      <c r="D153" t="s">
        <v>21</v>
      </c>
      <c r="E153" s="5">
        <v>45189</v>
      </c>
      <c r="F153" s="1">
        <v>0.52083333333333337</v>
      </c>
      <c r="G153" t="s">
        <v>48</v>
      </c>
      <c r="H153" t="s">
        <v>51</v>
      </c>
      <c r="I153">
        <v>4186.3500000000004</v>
      </c>
      <c r="J153">
        <v>4186.3500000000004</v>
      </c>
      <c r="K153" t="s">
        <v>17</v>
      </c>
      <c r="L153" t="str">
        <f>TEXT(Table2[[#This Row],[appointment_date]],"mmmm")</f>
        <v>September</v>
      </c>
    </row>
    <row r="154" spans="1:12" x14ac:dyDescent="0.3">
      <c r="A154" t="s">
        <v>223</v>
      </c>
      <c r="B154" t="s">
        <v>44</v>
      </c>
      <c r="C154" t="s">
        <v>13</v>
      </c>
      <c r="D154" t="s">
        <v>14</v>
      </c>
      <c r="E154" s="5">
        <v>45190</v>
      </c>
      <c r="F154" s="1">
        <v>0.55208333333333337</v>
      </c>
      <c r="G154" t="s">
        <v>39</v>
      </c>
      <c r="H154" t="s">
        <v>25</v>
      </c>
      <c r="I154">
        <v>2930.05</v>
      </c>
      <c r="J154">
        <v>2930.05</v>
      </c>
      <c r="K154" t="s">
        <v>17</v>
      </c>
      <c r="L154" t="str">
        <f>TEXT(Table2[[#This Row],[appointment_date]],"mmmm")</f>
        <v>September</v>
      </c>
    </row>
    <row r="155" spans="1:12" x14ac:dyDescent="0.3">
      <c r="A155" t="s">
        <v>224</v>
      </c>
      <c r="B155" t="s">
        <v>74</v>
      </c>
      <c r="C155" t="s">
        <v>37</v>
      </c>
      <c r="D155" t="s">
        <v>38</v>
      </c>
      <c r="E155" s="5">
        <v>45190</v>
      </c>
      <c r="F155" s="1">
        <v>0.51041666666666663</v>
      </c>
      <c r="G155" t="s">
        <v>24</v>
      </c>
      <c r="H155" t="s">
        <v>29</v>
      </c>
      <c r="I155">
        <v>1864.08</v>
      </c>
      <c r="J155">
        <v>1864.08</v>
      </c>
      <c r="K155" t="s">
        <v>30</v>
      </c>
      <c r="L155" t="str">
        <f>TEXT(Table2[[#This Row],[appointment_date]],"mmmm")</f>
        <v>September</v>
      </c>
    </row>
    <row r="156" spans="1:12" x14ac:dyDescent="0.3">
      <c r="A156" t="s">
        <v>225</v>
      </c>
      <c r="B156" t="s">
        <v>44</v>
      </c>
      <c r="C156" t="s">
        <v>54</v>
      </c>
      <c r="D156" t="s">
        <v>14</v>
      </c>
      <c r="E156" s="5">
        <v>45192</v>
      </c>
      <c r="F156" s="1">
        <v>0.73958333333333337</v>
      </c>
      <c r="G156" t="s">
        <v>39</v>
      </c>
      <c r="H156" t="s">
        <v>16</v>
      </c>
      <c r="I156">
        <v>980.95</v>
      </c>
      <c r="J156">
        <v>980.95</v>
      </c>
      <c r="K156" t="s">
        <v>17</v>
      </c>
      <c r="L156" t="str">
        <f>TEXT(Table2[[#This Row],[appointment_date]],"mmmm")</f>
        <v>September</v>
      </c>
    </row>
    <row r="157" spans="1:12" x14ac:dyDescent="0.3">
      <c r="A157" t="s">
        <v>226</v>
      </c>
      <c r="B157" t="s">
        <v>36</v>
      </c>
      <c r="C157" t="s">
        <v>33</v>
      </c>
      <c r="D157" t="s">
        <v>21</v>
      </c>
      <c r="E157" s="5">
        <v>45197</v>
      </c>
      <c r="F157" s="1">
        <v>0.70833333333333337</v>
      </c>
      <c r="G157" t="s">
        <v>15</v>
      </c>
      <c r="H157" t="s">
        <v>25</v>
      </c>
      <c r="I157">
        <v>4478.93</v>
      </c>
      <c r="J157">
        <v>4478.93</v>
      </c>
      <c r="K157" t="s">
        <v>17</v>
      </c>
      <c r="L157" t="str">
        <f>TEXT(Table2[[#This Row],[appointment_date]],"mmmm")</f>
        <v>September</v>
      </c>
    </row>
    <row r="158" spans="1:12" x14ac:dyDescent="0.3">
      <c r="A158" t="s">
        <v>227</v>
      </c>
      <c r="B158" t="s">
        <v>82</v>
      </c>
      <c r="C158" t="s">
        <v>20</v>
      </c>
      <c r="D158" t="s">
        <v>21</v>
      </c>
      <c r="E158" s="5">
        <v>45198</v>
      </c>
      <c r="F158" s="1">
        <v>0.41666666666666669</v>
      </c>
      <c r="G158" t="s">
        <v>28</v>
      </c>
      <c r="H158" t="s">
        <v>16</v>
      </c>
      <c r="I158">
        <v>864.14</v>
      </c>
      <c r="J158">
        <v>864.14</v>
      </c>
      <c r="K158" t="s">
        <v>30</v>
      </c>
      <c r="L158" t="str">
        <f>TEXT(Table2[[#This Row],[appointment_date]],"mmmm")</f>
        <v>September</v>
      </c>
    </row>
    <row r="159" spans="1:12" x14ac:dyDescent="0.3">
      <c r="A159" t="s">
        <v>228</v>
      </c>
      <c r="B159" t="s">
        <v>12</v>
      </c>
      <c r="C159" t="s">
        <v>47</v>
      </c>
      <c r="D159" t="s">
        <v>38</v>
      </c>
      <c r="E159" s="5">
        <v>45204</v>
      </c>
      <c r="F159" s="1">
        <v>0.5625</v>
      </c>
      <c r="G159" t="s">
        <v>48</v>
      </c>
      <c r="H159" t="s">
        <v>25</v>
      </c>
      <c r="I159">
        <v>1108.25</v>
      </c>
      <c r="J159">
        <v>1108.25</v>
      </c>
      <c r="K159" t="s">
        <v>30</v>
      </c>
      <c r="L159" t="str">
        <f>TEXT(Table2[[#This Row],[appointment_date]],"mmmm")</f>
        <v>October</v>
      </c>
    </row>
    <row r="160" spans="1:12" x14ac:dyDescent="0.3">
      <c r="A160" t="s">
        <v>229</v>
      </c>
      <c r="B160" t="s">
        <v>63</v>
      </c>
      <c r="C160" t="s">
        <v>47</v>
      </c>
      <c r="D160" t="s">
        <v>38</v>
      </c>
      <c r="E160" s="5">
        <v>45205</v>
      </c>
      <c r="F160" s="1">
        <v>0.72916666666666663</v>
      </c>
      <c r="G160" t="s">
        <v>24</v>
      </c>
      <c r="H160" t="s">
        <v>25</v>
      </c>
      <c r="I160">
        <v>1736.63</v>
      </c>
      <c r="J160">
        <v>1736.63</v>
      </c>
      <c r="K160" t="s">
        <v>30</v>
      </c>
      <c r="L160" t="str">
        <f>TEXT(Table2[[#This Row],[appointment_date]],"mmmm")</f>
        <v>October</v>
      </c>
    </row>
    <row r="161" spans="1:12" x14ac:dyDescent="0.3">
      <c r="A161" t="s">
        <v>230</v>
      </c>
      <c r="B161" t="s">
        <v>44</v>
      </c>
      <c r="C161" t="s">
        <v>54</v>
      </c>
      <c r="D161" t="s">
        <v>14</v>
      </c>
      <c r="E161" s="5">
        <v>45209</v>
      </c>
      <c r="F161" s="1">
        <v>0.44791666666666669</v>
      </c>
      <c r="G161" t="s">
        <v>39</v>
      </c>
      <c r="H161" t="s">
        <v>16</v>
      </c>
      <c r="I161">
        <v>4217.3</v>
      </c>
      <c r="J161">
        <v>4217.3</v>
      </c>
      <c r="K161" t="s">
        <v>34</v>
      </c>
      <c r="L161" t="str">
        <f>TEXT(Table2[[#This Row],[appointment_date]],"mmmm")</f>
        <v>October</v>
      </c>
    </row>
    <row r="162" spans="1:12" x14ac:dyDescent="0.3">
      <c r="A162" t="s">
        <v>231</v>
      </c>
      <c r="B162" t="s">
        <v>27</v>
      </c>
      <c r="C162" t="s">
        <v>33</v>
      </c>
      <c r="D162" t="s">
        <v>21</v>
      </c>
      <c r="E162" s="5">
        <v>45216</v>
      </c>
      <c r="F162" s="1">
        <v>0.63541666666666663</v>
      </c>
      <c r="G162" t="s">
        <v>28</v>
      </c>
      <c r="H162" t="s">
        <v>25</v>
      </c>
      <c r="I162">
        <v>2844.31</v>
      </c>
      <c r="J162">
        <v>2844.31</v>
      </c>
      <c r="K162" t="s">
        <v>30</v>
      </c>
      <c r="L162" t="str">
        <f>TEXT(Table2[[#This Row],[appointment_date]],"mmmm")</f>
        <v>October</v>
      </c>
    </row>
    <row r="163" spans="1:12" x14ac:dyDescent="0.3">
      <c r="A163" t="s">
        <v>232</v>
      </c>
      <c r="B163" t="s">
        <v>56</v>
      </c>
      <c r="C163" t="s">
        <v>13</v>
      </c>
      <c r="D163" t="s">
        <v>14</v>
      </c>
      <c r="E163" s="5">
        <v>45218</v>
      </c>
      <c r="F163" s="1">
        <v>0.51041666666666663</v>
      </c>
      <c r="G163" t="s">
        <v>48</v>
      </c>
      <c r="H163" t="s">
        <v>29</v>
      </c>
      <c r="I163">
        <v>3102.74</v>
      </c>
      <c r="J163">
        <v>3102.74</v>
      </c>
      <c r="K163" t="s">
        <v>34</v>
      </c>
      <c r="L163" t="str">
        <f>TEXT(Table2[[#This Row],[appointment_date]],"mmmm")</f>
        <v>October</v>
      </c>
    </row>
    <row r="164" spans="1:12" x14ac:dyDescent="0.3">
      <c r="A164" t="s">
        <v>233</v>
      </c>
      <c r="B164" t="s">
        <v>74</v>
      </c>
      <c r="C164" t="s">
        <v>19</v>
      </c>
      <c r="D164" t="s">
        <v>21</v>
      </c>
      <c r="E164" s="5">
        <v>45221</v>
      </c>
      <c r="F164" s="1">
        <v>0.70833333333333337</v>
      </c>
      <c r="G164" t="s">
        <v>28</v>
      </c>
      <c r="H164" t="s">
        <v>29</v>
      </c>
      <c r="I164">
        <v>4201.16</v>
      </c>
      <c r="J164">
        <v>4201.16</v>
      </c>
      <c r="K164" t="s">
        <v>17</v>
      </c>
      <c r="L164" t="str">
        <f>TEXT(Table2[[#This Row],[appointment_date]],"mmmm")</f>
        <v>October</v>
      </c>
    </row>
    <row r="165" spans="1:12" x14ac:dyDescent="0.3">
      <c r="A165" t="s">
        <v>234</v>
      </c>
      <c r="B165" t="s">
        <v>196</v>
      </c>
      <c r="C165" t="s">
        <v>13</v>
      </c>
      <c r="D165" t="s">
        <v>14</v>
      </c>
      <c r="E165" s="5">
        <v>45224</v>
      </c>
      <c r="F165" s="1">
        <v>0.41666666666666669</v>
      </c>
      <c r="G165" t="s">
        <v>15</v>
      </c>
      <c r="H165" t="s">
        <v>16</v>
      </c>
      <c r="I165">
        <v>3898.72</v>
      </c>
      <c r="J165">
        <v>3898.72</v>
      </c>
      <c r="K165" t="s">
        <v>34</v>
      </c>
      <c r="L165" t="str">
        <f>TEXT(Table2[[#This Row],[appointment_date]],"mmmm")</f>
        <v>October</v>
      </c>
    </row>
    <row r="166" spans="1:12" x14ac:dyDescent="0.3">
      <c r="A166" t="s">
        <v>235</v>
      </c>
      <c r="B166" t="s">
        <v>27</v>
      </c>
      <c r="C166" t="s">
        <v>54</v>
      </c>
      <c r="D166" t="s">
        <v>14</v>
      </c>
      <c r="E166" s="5">
        <v>45224</v>
      </c>
      <c r="F166" s="1">
        <v>0.375</v>
      </c>
      <c r="G166" t="s">
        <v>24</v>
      </c>
      <c r="H166" t="s">
        <v>16</v>
      </c>
      <c r="I166">
        <v>4460.3599999999997</v>
      </c>
      <c r="J166">
        <v>4460.3599999999997</v>
      </c>
      <c r="K166" t="s">
        <v>34</v>
      </c>
      <c r="L166" t="str">
        <f>TEXT(Table2[[#This Row],[appointment_date]],"mmmm")</f>
        <v>October</v>
      </c>
    </row>
    <row r="167" spans="1:12" x14ac:dyDescent="0.3">
      <c r="A167" t="s">
        <v>236</v>
      </c>
      <c r="B167" t="s">
        <v>23</v>
      </c>
      <c r="C167" t="s">
        <v>54</v>
      </c>
      <c r="D167" t="s">
        <v>14</v>
      </c>
      <c r="E167" s="5">
        <v>45224</v>
      </c>
      <c r="F167" s="1">
        <v>0.4375</v>
      </c>
      <c r="G167" t="s">
        <v>39</v>
      </c>
      <c r="H167" t="s">
        <v>16</v>
      </c>
      <c r="I167">
        <v>4809.3100000000004</v>
      </c>
      <c r="J167">
        <v>4809.3100000000004</v>
      </c>
      <c r="K167" t="s">
        <v>17</v>
      </c>
      <c r="L167" t="str">
        <f>TEXT(Table2[[#This Row],[appointment_date]],"mmmm")</f>
        <v>October</v>
      </c>
    </row>
    <row r="168" spans="1:12" x14ac:dyDescent="0.3">
      <c r="A168" t="s">
        <v>237</v>
      </c>
      <c r="B168" t="s">
        <v>105</v>
      </c>
      <c r="C168" t="s">
        <v>33</v>
      </c>
      <c r="D168" t="s">
        <v>21</v>
      </c>
      <c r="E168" s="5">
        <v>45225</v>
      </c>
      <c r="F168" s="1">
        <v>0.40625</v>
      </c>
      <c r="G168" t="s">
        <v>24</v>
      </c>
      <c r="H168" t="s">
        <v>29</v>
      </c>
      <c r="I168">
        <v>2477.8000000000002</v>
      </c>
      <c r="J168">
        <v>2477.8000000000002</v>
      </c>
      <c r="K168" t="s">
        <v>34</v>
      </c>
      <c r="L168" t="str">
        <f>TEXT(Table2[[#This Row],[appointment_date]],"mmmm")</f>
        <v>October</v>
      </c>
    </row>
    <row r="169" spans="1:12" x14ac:dyDescent="0.3">
      <c r="A169" t="s">
        <v>238</v>
      </c>
      <c r="B169" t="s">
        <v>85</v>
      </c>
      <c r="C169" t="s">
        <v>54</v>
      </c>
      <c r="D169" t="s">
        <v>14</v>
      </c>
      <c r="E169" s="5">
        <v>45228</v>
      </c>
      <c r="F169" s="1">
        <v>0.46875</v>
      </c>
      <c r="G169" t="s">
        <v>39</v>
      </c>
      <c r="H169" t="s">
        <v>25</v>
      </c>
      <c r="I169">
        <v>1998.51</v>
      </c>
      <c r="J169">
        <v>1998.51</v>
      </c>
      <c r="K169" t="s">
        <v>17</v>
      </c>
      <c r="L169" t="str">
        <f>TEXT(Table2[[#This Row],[appointment_date]],"mmmm")</f>
        <v>October</v>
      </c>
    </row>
    <row r="170" spans="1:12" x14ac:dyDescent="0.3">
      <c r="A170" t="s">
        <v>239</v>
      </c>
      <c r="B170" t="s">
        <v>61</v>
      </c>
      <c r="C170" t="s">
        <v>67</v>
      </c>
      <c r="D170" t="s">
        <v>21</v>
      </c>
      <c r="E170" s="5">
        <v>45228</v>
      </c>
      <c r="F170" s="1">
        <v>0.45833333333333331</v>
      </c>
      <c r="G170" t="s">
        <v>28</v>
      </c>
      <c r="H170" t="s">
        <v>29</v>
      </c>
      <c r="I170">
        <v>3759.52</v>
      </c>
      <c r="J170">
        <v>3759.52</v>
      </c>
      <c r="K170" t="s">
        <v>34</v>
      </c>
      <c r="L170" t="str">
        <f>TEXT(Table2[[#This Row],[appointment_date]],"mmmm")</f>
        <v>October</v>
      </c>
    </row>
    <row r="171" spans="1:12" x14ac:dyDescent="0.3">
      <c r="A171" t="s">
        <v>240</v>
      </c>
      <c r="B171" t="s">
        <v>74</v>
      </c>
      <c r="C171" t="s">
        <v>33</v>
      </c>
      <c r="D171" t="s">
        <v>21</v>
      </c>
      <c r="E171" s="5">
        <v>45228</v>
      </c>
      <c r="F171" s="1">
        <v>0.64583333333333337</v>
      </c>
      <c r="G171" t="s">
        <v>24</v>
      </c>
      <c r="H171" t="s">
        <v>16</v>
      </c>
      <c r="I171">
        <v>1315.17</v>
      </c>
      <c r="J171">
        <v>1315.17</v>
      </c>
      <c r="K171" t="s">
        <v>17</v>
      </c>
      <c r="L171" t="str">
        <f>TEXT(Table2[[#This Row],[appointment_date]],"mmmm")</f>
        <v>October</v>
      </c>
    </row>
    <row r="172" spans="1:12" x14ac:dyDescent="0.3">
      <c r="A172" t="s">
        <v>241</v>
      </c>
      <c r="B172" t="s">
        <v>74</v>
      </c>
      <c r="C172" t="s">
        <v>67</v>
      </c>
      <c r="D172" t="s">
        <v>21</v>
      </c>
      <c r="E172" s="5">
        <v>45230</v>
      </c>
      <c r="F172" s="1">
        <v>0.46875</v>
      </c>
      <c r="G172" t="s">
        <v>48</v>
      </c>
      <c r="H172" t="s">
        <v>29</v>
      </c>
      <c r="I172">
        <v>3384.37</v>
      </c>
      <c r="J172">
        <v>3384.37</v>
      </c>
      <c r="K172" t="s">
        <v>17</v>
      </c>
      <c r="L172" t="str">
        <f>TEXT(Table2[[#This Row],[appointment_date]],"mmmm")</f>
        <v>October</v>
      </c>
    </row>
    <row r="173" spans="1:12" x14ac:dyDescent="0.3">
      <c r="A173" t="s">
        <v>242</v>
      </c>
      <c r="B173" t="s">
        <v>196</v>
      </c>
      <c r="C173" t="s">
        <v>19</v>
      </c>
      <c r="D173" t="s">
        <v>21</v>
      </c>
      <c r="E173" s="5">
        <v>45231</v>
      </c>
      <c r="F173" s="1">
        <v>0.48958333333333331</v>
      </c>
      <c r="G173" t="s">
        <v>39</v>
      </c>
      <c r="H173" t="s">
        <v>16</v>
      </c>
      <c r="I173">
        <v>662.72</v>
      </c>
      <c r="J173">
        <v>662.72</v>
      </c>
      <c r="K173" t="s">
        <v>17</v>
      </c>
      <c r="L173" t="str">
        <f>TEXT(Table2[[#This Row],[appointment_date]],"mmmm")</f>
        <v>November</v>
      </c>
    </row>
    <row r="174" spans="1:12" x14ac:dyDescent="0.3">
      <c r="A174" t="s">
        <v>243</v>
      </c>
      <c r="B174" t="s">
        <v>27</v>
      </c>
      <c r="C174" t="s">
        <v>47</v>
      </c>
      <c r="D174" t="s">
        <v>38</v>
      </c>
      <c r="E174" s="5">
        <v>45232</v>
      </c>
      <c r="F174" s="1">
        <v>0.40625</v>
      </c>
      <c r="G174" t="s">
        <v>15</v>
      </c>
      <c r="H174" t="s">
        <v>25</v>
      </c>
      <c r="I174">
        <v>4672.3</v>
      </c>
      <c r="J174">
        <v>4672.3</v>
      </c>
      <c r="K174" t="s">
        <v>34</v>
      </c>
      <c r="L174" t="str">
        <f>TEXT(Table2[[#This Row],[appointment_date]],"mmmm")</f>
        <v>November</v>
      </c>
    </row>
    <row r="175" spans="1:12" x14ac:dyDescent="0.3">
      <c r="A175" t="s">
        <v>244</v>
      </c>
      <c r="B175" t="s">
        <v>46</v>
      </c>
      <c r="C175" t="s">
        <v>54</v>
      </c>
      <c r="D175" t="s">
        <v>14</v>
      </c>
      <c r="E175" s="5">
        <v>45236</v>
      </c>
      <c r="F175" s="1">
        <v>0.44791666666666669</v>
      </c>
      <c r="G175" t="s">
        <v>24</v>
      </c>
      <c r="H175" t="s">
        <v>25</v>
      </c>
      <c r="I175">
        <v>3690.71</v>
      </c>
      <c r="J175">
        <v>3690.71</v>
      </c>
      <c r="K175" t="s">
        <v>17</v>
      </c>
      <c r="L175" t="str">
        <f>TEXT(Table2[[#This Row],[appointment_date]],"mmmm")</f>
        <v>November</v>
      </c>
    </row>
    <row r="176" spans="1:12" x14ac:dyDescent="0.3">
      <c r="A176" t="s">
        <v>245</v>
      </c>
      <c r="B176" t="s">
        <v>99</v>
      </c>
      <c r="C176" t="s">
        <v>13</v>
      </c>
      <c r="D176" t="s">
        <v>14</v>
      </c>
      <c r="E176" s="5">
        <v>45237</v>
      </c>
      <c r="F176" s="1">
        <v>0.52083333333333337</v>
      </c>
      <c r="G176" t="s">
        <v>15</v>
      </c>
      <c r="H176" t="s">
        <v>51</v>
      </c>
      <c r="I176">
        <v>4960.6499999999996</v>
      </c>
      <c r="J176">
        <v>4960.6499999999996</v>
      </c>
      <c r="K176" t="s">
        <v>34</v>
      </c>
      <c r="L176" t="str">
        <f>TEXT(Table2[[#This Row],[appointment_date]],"mmmm")</f>
        <v>November</v>
      </c>
    </row>
    <row r="177" spans="1:12" x14ac:dyDescent="0.3">
      <c r="A177" t="s">
        <v>246</v>
      </c>
      <c r="B177" t="s">
        <v>41</v>
      </c>
      <c r="C177" t="s">
        <v>67</v>
      </c>
      <c r="D177" t="s">
        <v>21</v>
      </c>
      <c r="E177" s="5">
        <v>45241</v>
      </c>
      <c r="F177" s="1">
        <v>0.61458333333333337</v>
      </c>
      <c r="G177" t="s">
        <v>24</v>
      </c>
      <c r="H177" t="s">
        <v>25</v>
      </c>
      <c r="I177">
        <v>2120.61</v>
      </c>
      <c r="J177">
        <v>2120.61</v>
      </c>
      <c r="K177" t="s">
        <v>17</v>
      </c>
      <c r="L177" t="str">
        <f>TEXT(Table2[[#This Row],[appointment_date]],"mmmm")</f>
        <v>November</v>
      </c>
    </row>
    <row r="178" spans="1:12" x14ac:dyDescent="0.3">
      <c r="A178" t="s">
        <v>247</v>
      </c>
      <c r="B178" t="s">
        <v>158</v>
      </c>
      <c r="C178" t="s">
        <v>37</v>
      </c>
      <c r="D178" t="s">
        <v>38</v>
      </c>
      <c r="E178" s="5">
        <v>45242</v>
      </c>
      <c r="F178" s="1">
        <v>0.66666666666666663</v>
      </c>
      <c r="G178" t="s">
        <v>24</v>
      </c>
      <c r="H178" t="s">
        <v>16</v>
      </c>
      <c r="I178">
        <v>4671.66</v>
      </c>
      <c r="J178">
        <v>4671.66</v>
      </c>
      <c r="K178" t="s">
        <v>30</v>
      </c>
      <c r="L178" t="str">
        <f>TEXT(Table2[[#This Row],[appointment_date]],"mmmm")</f>
        <v>November</v>
      </c>
    </row>
    <row r="179" spans="1:12" x14ac:dyDescent="0.3">
      <c r="A179" t="s">
        <v>248</v>
      </c>
      <c r="B179" t="s">
        <v>198</v>
      </c>
      <c r="C179" t="s">
        <v>67</v>
      </c>
      <c r="D179" t="s">
        <v>21</v>
      </c>
      <c r="E179" s="5">
        <v>45243</v>
      </c>
      <c r="F179" s="1">
        <v>0.72916666666666663</v>
      </c>
      <c r="G179" t="s">
        <v>15</v>
      </c>
      <c r="H179" t="s">
        <v>51</v>
      </c>
      <c r="I179">
        <v>4716.3100000000004</v>
      </c>
      <c r="J179">
        <v>4716.3100000000004</v>
      </c>
      <c r="K179" t="s">
        <v>30</v>
      </c>
      <c r="L179" t="str">
        <f>TEXT(Table2[[#This Row],[appointment_date]],"mmmm")</f>
        <v>November</v>
      </c>
    </row>
    <row r="180" spans="1:12" x14ac:dyDescent="0.3">
      <c r="A180" t="s">
        <v>249</v>
      </c>
      <c r="B180" t="s">
        <v>12</v>
      </c>
      <c r="C180" t="s">
        <v>47</v>
      </c>
      <c r="D180" t="s">
        <v>38</v>
      </c>
      <c r="E180" s="5">
        <v>45243</v>
      </c>
      <c r="F180" s="1">
        <v>0.35416666666666669</v>
      </c>
      <c r="G180" t="s">
        <v>24</v>
      </c>
      <c r="H180" t="s">
        <v>16</v>
      </c>
      <c r="I180">
        <v>1555.89</v>
      </c>
      <c r="J180">
        <v>1555.89</v>
      </c>
      <c r="K180" t="s">
        <v>34</v>
      </c>
      <c r="L180" t="str">
        <f>TEXT(Table2[[#This Row],[appointment_date]],"mmmm")</f>
        <v>November</v>
      </c>
    </row>
    <row r="181" spans="1:12" x14ac:dyDescent="0.3">
      <c r="A181" t="s">
        <v>250</v>
      </c>
      <c r="B181" t="s">
        <v>12</v>
      </c>
      <c r="C181" t="s">
        <v>13</v>
      </c>
      <c r="D181" t="s">
        <v>14</v>
      </c>
      <c r="E181" s="5">
        <v>45244</v>
      </c>
      <c r="F181" s="1">
        <v>0.54166666666666663</v>
      </c>
      <c r="G181" t="s">
        <v>28</v>
      </c>
      <c r="H181" t="s">
        <v>16</v>
      </c>
      <c r="I181">
        <v>1900.88</v>
      </c>
      <c r="J181">
        <v>1900.88</v>
      </c>
      <c r="K181" t="s">
        <v>30</v>
      </c>
      <c r="L181" t="str">
        <f>TEXT(Table2[[#This Row],[appointment_date]],"mmmm")</f>
        <v>November</v>
      </c>
    </row>
    <row r="182" spans="1:12" x14ac:dyDescent="0.3">
      <c r="A182" t="s">
        <v>251</v>
      </c>
      <c r="B182" t="s">
        <v>12</v>
      </c>
      <c r="C182" t="s">
        <v>54</v>
      </c>
      <c r="D182" t="s">
        <v>14</v>
      </c>
      <c r="E182" s="5">
        <v>45244</v>
      </c>
      <c r="F182" s="1">
        <v>0.53125</v>
      </c>
      <c r="G182" t="s">
        <v>39</v>
      </c>
      <c r="H182" t="s">
        <v>25</v>
      </c>
      <c r="I182">
        <v>1048.49</v>
      </c>
      <c r="J182">
        <v>1048.49</v>
      </c>
      <c r="K182" t="s">
        <v>34</v>
      </c>
      <c r="L182" t="str">
        <f>TEXT(Table2[[#This Row],[appointment_date]],"mmmm")</f>
        <v>November</v>
      </c>
    </row>
    <row r="183" spans="1:12" x14ac:dyDescent="0.3">
      <c r="A183" t="s">
        <v>252</v>
      </c>
      <c r="B183" t="s">
        <v>158</v>
      </c>
      <c r="C183" t="s">
        <v>37</v>
      </c>
      <c r="D183" t="s">
        <v>38</v>
      </c>
      <c r="E183" s="5">
        <v>45244</v>
      </c>
      <c r="F183" s="1">
        <v>0.40625</v>
      </c>
      <c r="G183" t="s">
        <v>28</v>
      </c>
      <c r="H183" t="s">
        <v>29</v>
      </c>
      <c r="I183">
        <v>1781.93</v>
      </c>
      <c r="J183">
        <v>1781.93</v>
      </c>
      <c r="K183" t="s">
        <v>34</v>
      </c>
      <c r="L183" t="str">
        <f>TEXT(Table2[[#This Row],[appointment_date]],"mmmm")</f>
        <v>November</v>
      </c>
    </row>
    <row r="184" spans="1:12" x14ac:dyDescent="0.3">
      <c r="A184" t="s">
        <v>253</v>
      </c>
      <c r="B184" t="s">
        <v>12</v>
      </c>
      <c r="C184" t="s">
        <v>13</v>
      </c>
      <c r="D184" t="s">
        <v>14</v>
      </c>
      <c r="E184" s="5">
        <v>45245</v>
      </c>
      <c r="F184" s="1">
        <v>0.34375</v>
      </c>
      <c r="G184" t="s">
        <v>48</v>
      </c>
      <c r="H184" t="s">
        <v>25</v>
      </c>
      <c r="I184">
        <v>1871.06</v>
      </c>
      <c r="J184">
        <v>1871.06</v>
      </c>
      <c r="K184" t="s">
        <v>34</v>
      </c>
      <c r="L184" t="str">
        <f>TEXT(Table2[[#This Row],[appointment_date]],"mmmm")</f>
        <v>November</v>
      </c>
    </row>
    <row r="185" spans="1:12" x14ac:dyDescent="0.3">
      <c r="A185" t="s">
        <v>254</v>
      </c>
      <c r="B185" t="s">
        <v>76</v>
      </c>
      <c r="C185" t="s">
        <v>19</v>
      </c>
      <c r="D185" t="s">
        <v>21</v>
      </c>
      <c r="E185" s="5">
        <v>45246</v>
      </c>
      <c r="F185" s="1">
        <v>0.63541666666666663</v>
      </c>
      <c r="G185" t="s">
        <v>24</v>
      </c>
      <c r="H185" t="s">
        <v>25</v>
      </c>
      <c r="I185">
        <v>4834.0200000000004</v>
      </c>
      <c r="J185">
        <v>4834.0200000000004</v>
      </c>
      <c r="K185" t="s">
        <v>17</v>
      </c>
      <c r="L185" t="str">
        <f>TEXT(Table2[[#This Row],[appointment_date]],"mmmm")</f>
        <v>November</v>
      </c>
    </row>
    <row r="186" spans="1:12" x14ac:dyDescent="0.3">
      <c r="A186" t="s">
        <v>255</v>
      </c>
      <c r="B186" t="s">
        <v>151</v>
      </c>
      <c r="C186" t="s">
        <v>67</v>
      </c>
      <c r="D186" t="s">
        <v>21</v>
      </c>
      <c r="E186" s="5">
        <v>45252</v>
      </c>
      <c r="F186" s="1">
        <v>0.71875</v>
      </c>
      <c r="G186" t="s">
        <v>24</v>
      </c>
      <c r="H186" t="s">
        <v>16</v>
      </c>
      <c r="I186">
        <v>3307.37</v>
      </c>
      <c r="J186">
        <v>3307.37</v>
      </c>
      <c r="K186" t="s">
        <v>34</v>
      </c>
      <c r="L186" t="str">
        <f>TEXT(Table2[[#This Row],[appointment_date]],"mmmm")</f>
        <v>November</v>
      </c>
    </row>
    <row r="187" spans="1:12" x14ac:dyDescent="0.3">
      <c r="A187" t="s">
        <v>256</v>
      </c>
      <c r="B187" t="s">
        <v>44</v>
      </c>
      <c r="C187" t="s">
        <v>42</v>
      </c>
      <c r="D187" t="s">
        <v>14</v>
      </c>
      <c r="E187" s="5">
        <v>45252</v>
      </c>
      <c r="F187" s="1">
        <v>0.60416666666666663</v>
      </c>
      <c r="G187" t="s">
        <v>39</v>
      </c>
      <c r="H187" t="s">
        <v>51</v>
      </c>
      <c r="I187">
        <v>4964.71</v>
      </c>
      <c r="J187">
        <v>4964.71</v>
      </c>
      <c r="K187" t="s">
        <v>30</v>
      </c>
      <c r="L187" t="str">
        <f>TEXT(Table2[[#This Row],[appointment_date]],"mmmm")</f>
        <v>November</v>
      </c>
    </row>
    <row r="188" spans="1:12" x14ac:dyDescent="0.3">
      <c r="A188" t="s">
        <v>257</v>
      </c>
      <c r="B188" t="s">
        <v>44</v>
      </c>
      <c r="C188" t="s">
        <v>19</v>
      </c>
      <c r="D188" t="s">
        <v>21</v>
      </c>
      <c r="E188" s="5">
        <v>45254</v>
      </c>
      <c r="F188" s="1">
        <v>0.64583333333333337</v>
      </c>
      <c r="G188" t="s">
        <v>28</v>
      </c>
      <c r="H188" t="s">
        <v>29</v>
      </c>
      <c r="I188">
        <v>770.64</v>
      </c>
      <c r="J188">
        <v>770.64</v>
      </c>
      <c r="K188" t="s">
        <v>34</v>
      </c>
      <c r="L188" t="str">
        <f>TEXT(Table2[[#This Row],[appointment_date]],"mmmm")</f>
        <v>November</v>
      </c>
    </row>
    <row r="189" spans="1:12" x14ac:dyDescent="0.3">
      <c r="A189" t="s">
        <v>258</v>
      </c>
      <c r="B189" t="s">
        <v>209</v>
      </c>
      <c r="C189" t="s">
        <v>67</v>
      </c>
      <c r="D189" t="s">
        <v>21</v>
      </c>
      <c r="E189" s="5">
        <v>45257</v>
      </c>
      <c r="F189" s="1">
        <v>0.5</v>
      </c>
      <c r="G189" t="s">
        <v>39</v>
      </c>
      <c r="H189" t="s">
        <v>29</v>
      </c>
      <c r="I189">
        <v>4945.03</v>
      </c>
      <c r="J189">
        <v>4945.03</v>
      </c>
      <c r="K189" t="s">
        <v>34</v>
      </c>
      <c r="L189" t="str">
        <f>TEXT(Table2[[#This Row],[appointment_date]],"mmmm")</f>
        <v>November</v>
      </c>
    </row>
    <row r="190" spans="1:12" x14ac:dyDescent="0.3">
      <c r="A190" t="s">
        <v>259</v>
      </c>
      <c r="B190" t="s">
        <v>198</v>
      </c>
      <c r="C190" t="s">
        <v>19</v>
      </c>
      <c r="D190" t="s">
        <v>21</v>
      </c>
      <c r="E190" s="5">
        <v>45265</v>
      </c>
      <c r="F190" s="1">
        <v>0.63541666666666663</v>
      </c>
      <c r="G190" t="s">
        <v>28</v>
      </c>
      <c r="H190" t="s">
        <v>51</v>
      </c>
      <c r="I190">
        <v>4113.62</v>
      </c>
      <c r="J190">
        <v>4113.62</v>
      </c>
      <c r="K190" t="s">
        <v>30</v>
      </c>
      <c r="L190" t="str">
        <f>TEXT(Table2[[#This Row],[appointment_date]],"mmmm")</f>
        <v>December</v>
      </c>
    </row>
    <row r="191" spans="1:12" x14ac:dyDescent="0.3">
      <c r="A191" t="s">
        <v>260</v>
      </c>
      <c r="B191" t="s">
        <v>118</v>
      </c>
      <c r="C191" t="s">
        <v>67</v>
      </c>
      <c r="D191" t="s">
        <v>21</v>
      </c>
      <c r="E191" s="5">
        <v>45266</v>
      </c>
      <c r="F191" s="1">
        <v>0.35416666666666669</v>
      </c>
      <c r="G191" t="s">
        <v>28</v>
      </c>
      <c r="H191" t="s">
        <v>25</v>
      </c>
      <c r="I191">
        <v>2992.11</v>
      </c>
      <c r="J191">
        <v>2992.11</v>
      </c>
      <c r="K191" t="s">
        <v>17</v>
      </c>
      <c r="L191" t="str">
        <f>TEXT(Table2[[#This Row],[appointment_date]],"mmmm")</f>
        <v>December</v>
      </c>
    </row>
    <row r="192" spans="1:12" x14ac:dyDescent="0.3">
      <c r="A192" t="s">
        <v>261</v>
      </c>
      <c r="B192" t="s">
        <v>32</v>
      </c>
      <c r="C192" t="s">
        <v>13</v>
      </c>
      <c r="D192" t="s">
        <v>14</v>
      </c>
      <c r="E192" s="5">
        <v>45268</v>
      </c>
      <c r="F192" s="1">
        <v>0.45833333333333331</v>
      </c>
      <c r="G192" t="s">
        <v>39</v>
      </c>
      <c r="H192" t="s">
        <v>16</v>
      </c>
      <c r="I192">
        <v>935.04</v>
      </c>
      <c r="J192">
        <v>935.04</v>
      </c>
      <c r="K192" t="s">
        <v>17</v>
      </c>
      <c r="L192" t="str">
        <f>TEXT(Table2[[#This Row],[appointment_date]],"mmmm")</f>
        <v>December</v>
      </c>
    </row>
    <row r="193" spans="1:12" x14ac:dyDescent="0.3">
      <c r="A193" t="s">
        <v>262</v>
      </c>
      <c r="B193" t="s">
        <v>76</v>
      </c>
      <c r="C193" t="s">
        <v>47</v>
      </c>
      <c r="D193" t="s">
        <v>38</v>
      </c>
      <c r="E193" s="5">
        <v>45274</v>
      </c>
      <c r="F193" s="1">
        <v>0.71875</v>
      </c>
      <c r="G193" t="s">
        <v>24</v>
      </c>
      <c r="H193" t="s">
        <v>51</v>
      </c>
      <c r="I193">
        <v>1113.98</v>
      </c>
      <c r="J193">
        <v>1113.98</v>
      </c>
      <c r="K193" t="s">
        <v>17</v>
      </c>
      <c r="L193" t="str">
        <f>TEXT(Table2[[#This Row],[appointment_date]],"mmmm")</f>
        <v>December</v>
      </c>
    </row>
    <row r="194" spans="1:12" x14ac:dyDescent="0.3">
      <c r="A194" t="s">
        <v>263</v>
      </c>
      <c r="B194" t="s">
        <v>36</v>
      </c>
      <c r="C194" t="s">
        <v>42</v>
      </c>
      <c r="D194" t="s">
        <v>14</v>
      </c>
      <c r="E194" s="5">
        <v>45276</v>
      </c>
      <c r="F194" s="1">
        <v>0.48958333333333331</v>
      </c>
      <c r="G194" t="s">
        <v>48</v>
      </c>
      <c r="H194" t="s">
        <v>25</v>
      </c>
      <c r="I194">
        <v>4012.36</v>
      </c>
      <c r="J194">
        <v>4012.36</v>
      </c>
      <c r="K194" t="s">
        <v>30</v>
      </c>
      <c r="L194" t="str">
        <f>TEXT(Table2[[#This Row],[appointment_date]],"mmmm")</f>
        <v>December</v>
      </c>
    </row>
    <row r="195" spans="1:12" x14ac:dyDescent="0.3">
      <c r="A195" t="s">
        <v>264</v>
      </c>
      <c r="B195" t="s">
        <v>94</v>
      </c>
      <c r="C195" t="s">
        <v>13</v>
      </c>
      <c r="D195" t="s">
        <v>14</v>
      </c>
      <c r="E195" s="5">
        <v>45277</v>
      </c>
      <c r="F195" s="1">
        <v>0.53125</v>
      </c>
      <c r="G195" t="s">
        <v>15</v>
      </c>
      <c r="H195" t="s">
        <v>29</v>
      </c>
      <c r="I195">
        <v>1023.65</v>
      </c>
      <c r="J195">
        <v>1023.65</v>
      </c>
      <c r="K195" t="s">
        <v>17</v>
      </c>
      <c r="L195" t="str">
        <f>TEXT(Table2[[#This Row],[appointment_date]],"mmmm")</f>
        <v>December</v>
      </c>
    </row>
    <row r="196" spans="1:12" x14ac:dyDescent="0.3">
      <c r="A196" t="s">
        <v>265</v>
      </c>
      <c r="B196" t="s">
        <v>82</v>
      </c>
      <c r="C196" t="s">
        <v>20</v>
      </c>
      <c r="D196" t="s">
        <v>21</v>
      </c>
      <c r="E196" s="5">
        <v>45278</v>
      </c>
      <c r="F196" s="1">
        <v>0.5625</v>
      </c>
      <c r="G196" t="s">
        <v>15</v>
      </c>
      <c r="H196" t="s">
        <v>29</v>
      </c>
      <c r="I196">
        <v>2911.22</v>
      </c>
      <c r="J196">
        <v>2911.22</v>
      </c>
      <c r="K196" t="s">
        <v>30</v>
      </c>
      <c r="L196" t="str">
        <f>TEXT(Table2[[#This Row],[appointment_date]],"mmmm")</f>
        <v>December</v>
      </c>
    </row>
    <row r="197" spans="1:12" x14ac:dyDescent="0.3">
      <c r="A197" t="s">
        <v>266</v>
      </c>
      <c r="B197" t="s">
        <v>196</v>
      </c>
      <c r="C197" t="s">
        <v>19</v>
      </c>
      <c r="D197" t="s">
        <v>21</v>
      </c>
      <c r="E197" s="5">
        <v>45280</v>
      </c>
      <c r="F197" s="1">
        <v>0.55208333333333337</v>
      </c>
      <c r="G197" t="s">
        <v>28</v>
      </c>
      <c r="H197" t="s">
        <v>29</v>
      </c>
      <c r="I197">
        <v>1526.36</v>
      </c>
      <c r="J197">
        <v>1526.36</v>
      </c>
      <c r="K197" t="s">
        <v>17</v>
      </c>
      <c r="L197" t="str">
        <f>TEXT(Table2[[#This Row],[appointment_date]],"mmmm")</f>
        <v>December</v>
      </c>
    </row>
    <row r="198" spans="1:12" x14ac:dyDescent="0.3">
      <c r="A198" t="s">
        <v>267</v>
      </c>
      <c r="B198" t="s">
        <v>70</v>
      </c>
      <c r="C198" t="s">
        <v>19</v>
      </c>
      <c r="D198" t="s">
        <v>21</v>
      </c>
      <c r="E198" s="5">
        <v>45284</v>
      </c>
      <c r="F198" s="1">
        <v>0.625</v>
      </c>
      <c r="G198" t="s">
        <v>48</v>
      </c>
      <c r="H198" t="s">
        <v>51</v>
      </c>
      <c r="I198">
        <v>2259.08</v>
      </c>
      <c r="J198">
        <v>2259.08</v>
      </c>
      <c r="K198" t="s">
        <v>30</v>
      </c>
      <c r="L198" t="str">
        <f>TEXT(Table2[[#This Row],[appointment_date]],"mmmm")</f>
        <v>December</v>
      </c>
    </row>
    <row r="199" spans="1:12" x14ac:dyDescent="0.3">
      <c r="A199" t="s">
        <v>268</v>
      </c>
      <c r="B199" t="s">
        <v>74</v>
      </c>
      <c r="C199" t="s">
        <v>67</v>
      </c>
      <c r="D199" t="s">
        <v>21</v>
      </c>
      <c r="E199" s="5">
        <v>45286</v>
      </c>
      <c r="F199" s="1">
        <v>0.58333333333333337</v>
      </c>
      <c r="G199" t="s">
        <v>48</v>
      </c>
      <c r="H199" t="s">
        <v>29</v>
      </c>
      <c r="I199">
        <v>2319.4299999999998</v>
      </c>
      <c r="J199">
        <v>2319.4299999999998</v>
      </c>
      <c r="K199" t="s">
        <v>17</v>
      </c>
      <c r="L199" t="str">
        <f>TEXT(Table2[[#This Row],[appointment_date]],"mmmm")</f>
        <v>December</v>
      </c>
    </row>
    <row r="200" spans="1:12" x14ac:dyDescent="0.3">
      <c r="A200" t="s">
        <v>269</v>
      </c>
      <c r="B200" t="s">
        <v>23</v>
      </c>
      <c r="C200" t="s">
        <v>37</v>
      </c>
      <c r="D200" t="s">
        <v>38</v>
      </c>
      <c r="E200" s="5">
        <v>45286</v>
      </c>
      <c r="F200" s="1">
        <v>0.63541666666666663</v>
      </c>
      <c r="G200" t="s">
        <v>48</v>
      </c>
      <c r="H200" t="s">
        <v>16</v>
      </c>
      <c r="I200">
        <v>1074.71</v>
      </c>
      <c r="J200">
        <v>1074.71</v>
      </c>
      <c r="K200" t="s">
        <v>17</v>
      </c>
      <c r="L200" t="str">
        <f>TEXT(Table2[[#This Row],[appointment_date]],"mmmm")</f>
        <v>December</v>
      </c>
    </row>
    <row r="201" spans="1:12" x14ac:dyDescent="0.3">
      <c r="A201" t="s">
        <v>270</v>
      </c>
      <c r="B201" t="s">
        <v>41</v>
      </c>
      <c r="C201" t="s">
        <v>54</v>
      </c>
      <c r="D201" t="s">
        <v>14</v>
      </c>
      <c r="E201" s="5">
        <v>45290</v>
      </c>
      <c r="F201" s="1">
        <v>0.42708333333333331</v>
      </c>
      <c r="G201" t="s">
        <v>28</v>
      </c>
      <c r="H201" t="s">
        <v>29</v>
      </c>
      <c r="I201">
        <v>3288.15</v>
      </c>
      <c r="J201">
        <v>3288.15</v>
      </c>
      <c r="K201" t="s">
        <v>17</v>
      </c>
      <c r="L201" t="str">
        <f>TEXT(Table2[[#This Row],[appointment_date]],"mmmm")</f>
        <v>December</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A5992-7266-4342-B458-D59EF4A88439}">
  <dimension ref="A3:B8"/>
  <sheetViews>
    <sheetView workbookViewId="0">
      <selection activeCell="A3" sqref="A3"/>
    </sheetView>
  </sheetViews>
  <sheetFormatPr defaultRowHeight="14.4" x14ac:dyDescent="0.3"/>
  <cols>
    <col min="1" max="1" width="14.44140625" bestFit="1" customWidth="1"/>
    <col min="2" max="2" width="20.33203125" bestFit="1" customWidth="1"/>
    <col min="3" max="3" width="22.6640625" bestFit="1" customWidth="1"/>
  </cols>
  <sheetData>
    <row r="3" spans="1:2" x14ac:dyDescent="0.3">
      <c r="A3" s="3" t="s">
        <v>272</v>
      </c>
      <c r="B3" t="s">
        <v>273</v>
      </c>
    </row>
    <row r="4" spans="1:2" x14ac:dyDescent="0.3">
      <c r="A4" s="4" t="s">
        <v>29</v>
      </c>
      <c r="B4">
        <v>51</v>
      </c>
    </row>
    <row r="5" spans="1:2" x14ac:dyDescent="0.3">
      <c r="A5" s="4" t="s">
        <v>51</v>
      </c>
      <c r="B5">
        <v>46</v>
      </c>
    </row>
    <row r="6" spans="1:2" x14ac:dyDescent="0.3">
      <c r="A6" s="4" t="s">
        <v>16</v>
      </c>
      <c r="B6">
        <v>52</v>
      </c>
    </row>
    <row r="7" spans="1:2" x14ac:dyDescent="0.3">
      <c r="A7" s="4" t="s">
        <v>25</v>
      </c>
      <c r="B7">
        <v>51</v>
      </c>
    </row>
    <row r="8" spans="1:2" x14ac:dyDescent="0.3">
      <c r="A8" s="4" t="s">
        <v>271</v>
      </c>
      <c r="B8">
        <v>200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1F93A-9F21-4A26-A8ED-4F635259291C}">
  <dimension ref="A3:B7"/>
  <sheetViews>
    <sheetView workbookViewId="0">
      <selection activeCell="A3" sqref="A3"/>
    </sheetView>
  </sheetViews>
  <sheetFormatPr defaultRowHeight="14.4" x14ac:dyDescent="0.3"/>
  <cols>
    <col min="1" max="1" width="14.6640625" bestFit="1" customWidth="1"/>
    <col min="2" max="2" width="10" bestFit="1" customWidth="1"/>
  </cols>
  <sheetData>
    <row r="3" spans="1:2" x14ac:dyDescent="0.3">
      <c r="A3" s="3" t="s">
        <v>274</v>
      </c>
      <c r="B3" t="s">
        <v>275</v>
      </c>
    </row>
    <row r="4" spans="1:2" x14ac:dyDescent="0.3">
      <c r="A4" s="4" t="s">
        <v>14</v>
      </c>
      <c r="B4">
        <v>202709.28999999992</v>
      </c>
    </row>
    <row r="5" spans="1:2" x14ac:dyDescent="0.3">
      <c r="A5" s="4" t="s">
        <v>38</v>
      </c>
      <c r="B5">
        <v>89602.73</v>
      </c>
    </row>
    <row r="6" spans="1:2" x14ac:dyDescent="0.3">
      <c r="A6" s="4" t="s">
        <v>21</v>
      </c>
      <c r="B6">
        <v>258937.82999999987</v>
      </c>
    </row>
    <row r="7" spans="1:2" x14ac:dyDescent="0.3">
      <c r="A7" s="4" t="s">
        <v>271</v>
      </c>
      <c r="B7">
        <v>551249.84999999974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0BE23-0F28-409B-8E2F-FA68BCCBD011}">
  <dimension ref="A2:B13"/>
  <sheetViews>
    <sheetView workbookViewId="0">
      <selection activeCell="A25" sqref="A25"/>
    </sheetView>
  </sheetViews>
  <sheetFormatPr defaultRowHeight="14.4" x14ac:dyDescent="0.3"/>
  <cols>
    <col min="1" max="1" width="11.33203125" bestFit="1" customWidth="1"/>
    <col min="2" max="2" width="10.77734375" bestFit="1" customWidth="1"/>
  </cols>
  <sheetData>
    <row r="2" spans="1:2" x14ac:dyDescent="0.3">
      <c r="A2" s="3" t="s">
        <v>276</v>
      </c>
      <c r="B2" t="s">
        <v>277</v>
      </c>
    </row>
    <row r="3" spans="1:2" x14ac:dyDescent="0.3">
      <c r="A3" s="4" t="s">
        <v>33</v>
      </c>
      <c r="B3">
        <v>24</v>
      </c>
    </row>
    <row r="4" spans="1:2" x14ac:dyDescent="0.3">
      <c r="A4" s="4" t="s">
        <v>20</v>
      </c>
      <c r="B4">
        <v>14</v>
      </c>
    </row>
    <row r="5" spans="1:2" x14ac:dyDescent="0.3">
      <c r="A5" s="4" t="s">
        <v>13</v>
      </c>
      <c r="B5">
        <v>25</v>
      </c>
    </row>
    <row r="6" spans="1:2" x14ac:dyDescent="0.3">
      <c r="A6" s="4" t="s">
        <v>67</v>
      </c>
      <c r="B6">
        <v>21</v>
      </c>
    </row>
    <row r="7" spans="1:2" x14ac:dyDescent="0.3">
      <c r="A7" s="4" t="s">
        <v>19</v>
      </c>
      <c r="B7">
        <v>22</v>
      </c>
    </row>
    <row r="8" spans="1:2" x14ac:dyDescent="0.3">
      <c r="A8" s="4" t="s">
        <v>42</v>
      </c>
      <c r="B8">
        <v>16</v>
      </c>
    </row>
    <row r="9" spans="1:2" x14ac:dyDescent="0.3">
      <c r="A9" s="4" t="s">
        <v>47</v>
      </c>
      <c r="B9">
        <v>19</v>
      </c>
    </row>
    <row r="10" spans="1:2" x14ac:dyDescent="0.3">
      <c r="A10" s="4" t="s">
        <v>37</v>
      </c>
      <c r="B10">
        <v>13</v>
      </c>
    </row>
    <row r="11" spans="1:2" x14ac:dyDescent="0.3">
      <c r="A11" s="4" t="s">
        <v>59</v>
      </c>
      <c r="B11">
        <v>17</v>
      </c>
    </row>
    <row r="12" spans="1:2" x14ac:dyDescent="0.3">
      <c r="A12" s="4" t="s">
        <v>54</v>
      </c>
      <c r="B12">
        <v>29</v>
      </c>
    </row>
    <row r="13" spans="1:2" x14ac:dyDescent="0.3">
      <c r="A13" s="4" t="s">
        <v>271</v>
      </c>
      <c r="B13">
        <v>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8EF1D-9E27-4B42-A333-BD02B3E902BD}">
  <dimension ref="A2:B15"/>
  <sheetViews>
    <sheetView workbookViewId="0">
      <selection activeCell="A2" sqref="A2"/>
    </sheetView>
  </sheetViews>
  <sheetFormatPr defaultRowHeight="14.4" x14ac:dyDescent="0.3"/>
  <cols>
    <col min="1" max="1" width="10.77734375" bestFit="1" customWidth="1"/>
    <col min="2" max="2" width="22.88671875" bestFit="1" customWidth="1"/>
  </cols>
  <sheetData>
    <row r="2" spans="1:2" x14ac:dyDescent="0.3">
      <c r="A2" s="3" t="s">
        <v>278</v>
      </c>
      <c r="B2" t="s">
        <v>291</v>
      </c>
    </row>
    <row r="3" spans="1:2" x14ac:dyDescent="0.3">
      <c r="A3" s="4" t="s">
        <v>279</v>
      </c>
      <c r="B3">
        <v>20</v>
      </c>
    </row>
    <row r="4" spans="1:2" x14ac:dyDescent="0.3">
      <c r="A4" s="4" t="s">
        <v>280</v>
      </c>
      <c r="B4">
        <v>14</v>
      </c>
    </row>
    <row r="5" spans="1:2" x14ac:dyDescent="0.3">
      <c r="A5" s="4" t="s">
        <v>281</v>
      </c>
      <c r="B5">
        <v>19</v>
      </c>
    </row>
    <row r="6" spans="1:2" x14ac:dyDescent="0.3">
      <c r="A6" s="4" t="s">
        <v>282</v>
      </c>
      <c r="B6">
        <v>25</v>
      </c>
    </row>
    <row r="7" spans="1:2" x14ac:dyDescent="0.3">
      <c r="A7" s="4" t="s">
        <v>283</v>
      </c>
      <c r="B7">
        <v>19</v>
      </c>
    </row>
    <row r="8" spans="1:2" x14ac:dyDescent="0.3">
      <c r="A8" s="4" t="s">
        <v>284</v>
      </c>
      <c r="B8">
        <v>18</v>
      </c>
    </row>
    <row r="9" spans="1:2" x14ac:dyDescent="0.3">
      <c r="A9" s="4" t="s">
        <v>285</v>
      </c>
      <c r="B9">
        <v>16</v>
      </c>
    </row>
    <row r="10" spans="1:2" x14ac:dyDescent="0.3">
      <c r="A10" s="4" t="s">
        <v>286</v>
      </c>
      <c r="B10">
        <v>15</v>
      </c>
    </row>
    <row r="11" spans="1:2" x14ac:dyDescent="0.3">
      <c r="A11" s="4" t="s">
        <v>287</v>
      </c>
      <c r="B11">
        <v>11</v>
      </c>
    </row>
    <row r="12" spans="1:2" x14ac:dyDescent="0.3">
      <c r="A12" s="4" t="s">
        <v>288</v>
      </c>
      <c r="B12">
        <v>14</v>
      </c>
    </row>
    <row r="13" spans="1:2" x14ac:dyDescent="0.3">
      <c r="A13" s="4" t="s">
        <v>289</v>
      </c>
      <c r="B13">
        <v>17</v>
      </c>
    </row>
    <row r="14" spans="1:2" x14ac:dyDescent="0.3">
      <c r="A14" s="4" t="s">
        <v>290</v>
      </c>
      <c r="B14">
        <v>12</v>
      </c>
    </row>
    <row r="15" spans="1:2" x14ac:dyDescent="0.3">
      <c r="A15" s="4" t="s">
        <v>271</v>
      </c>
      <c r="B15">
        <v>200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86FD1-12DB-4432-87FC-626A396FDF74}">
  <dimension ref="A2:B6"/>
  <sheetViews>
    <sheetView workbookViewId="0">
      <selection activeCell="A2" sqref="A2"/>
    </sheetView>
  </sheetViews>
  <sheetFormatPr defaultRowHeight="14.4" x14ac:dyDescent="0.3"/>
  <cols>
    <col min="1" max="1" width="10.77734375" bestFit="1" customWidth="1"/>
    <col min="2" max="2" width="19.109375" bestFit="1" customWidth="1"/>
  </cols>
  <sheetData>
    <row r="2" spans="1:2" x14ac:dyDescent="0.3">
      <c r="A2" s="3" t="s">
        <v>292</v>
      </c>
      <c r="B2" t="s">
        <v>293</v>
      </c>
    </row>
    <row r="3" spans="1:2" x14ac:dyDescent="0.3">
      <c r="A3" s="4" t="s">
        <v>30</v>
      </c>
      <c r="B3">
        <v>67</v>
      </c>
    </row>
    <row r="4" spans="1:2" x14ac:dyDescent="0.3">
      <c r="A4" s="4" t="s">
        <v>17</v>
      </c>
      <c r="B4">
        <v>64</v>
      </c>
    </row>
    <row r="5" spans="1:2" x14ac:dyDescent="0.3">
      <c r="A5" s="4" t="s">
        <v>34</v>
      </c>
      <c r="B5">
        <v>69</v>
      </c>
    </row>
    <row r="6" spans="1:2" x14ac:dyDescent="0.3">
      <c r="A6" s="4" t="s">
        <v>271</v>
      </c>
      <c r="B6">
        <v>200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FDEDD-4CFA-41D0-BAE9-C227BB12324B}">
  <dimension ref="A1:Y58"/>
  <sheetViews>
    <sheetView showGridLines="0" tabSelected="1" workbookViewId="0">
      <selection activeCell="Y37" sqref="Y37"/>
    </sheetView>
  </sheetViews>
  <sheetFormatPr defaultRowHeight="14.4" x14ac:dyDescent="0.3"/>
  <cols>
    <col min="23" max="23" width="5.44140625" customWidth="1"/>
    <col min="24" max="24" width="8.88671875" hidden="1" customWidth="1"/>
    <col min="25" max="25" width="4.6640625" customWidth="1"/>
  </cols>
  <sheetData>
    <row r="1" spans="1:25" x14ac:dyDescent="0.3">
      <c r="A1" s="7" t="s">
        <v>294</v>
      </c>
      <c r="B1" s="6"/>
      <c r="C1" s="6"/>
      <c r="D1" s="6"/>
      <c r="E1" s="6"/>
      <c r="F1" s="6"/>
      <c r="G1" s="6"/>
      <c r="H1" s="6"/>
      <c r="I1" s="6"/>
      <c r="J1" s="6"/>
      <c r="K1" s="6"/>
      <c r="L1" s="6"/>
      <c r="M1" s="6"/>
      <c r="N1" s="6"/>
      <c r="O1" s="6"/>
      <c r="P1" s="6"/>
      <c r="Q1" s="6"/>
      <c r="R1" s="6"/>
      <c r="S1" s="6"/>
      <c r="T1" s="6"/>
      <c r="U1" s="6"/>
      <c r="V1" s="6"/>
      <c r="W1" s="6"/>
      <c r="X1" s="6"/>
      <c r="Y1" s="8"/>
    </row>
    <row r="2" spans="1:25" x14ac:dyDescent="0.3">
      <c r="A2" s="6"/>
      <c r="B2" s="6"/>
      <c r="C2" s="6"/>
      <c r="D2" s="6"/>
      <c r="E2" s="6"/>
      <c r="F2" s="6"/>
      <c r="G2" s="6"/>
      <c r="H2" s="6"/>
      <c r="I2" s="6"/>
      <c r="J2" s="6"/>
      <c r="K2" s="6"/>
      <c r="L2" s="6"/>
      <c r="M2" s="6"/>
      <c r="N2" s="6"/>
      <c r="O2" s="6"/>
      <c r="P2" s="6"/>
      <c r="Q2" s="6"/>
      <c r="R2" s="6"/>
      <c r="S2" s="6"/>
      <c r="T2" s="6"/>
      <c r="U2" s="6"/>
      <c r="V2" s="6"/>
      <c r="W2" s="6"/>
      <c r="X2" s="6"/>
      <c r="Y2" s="8"/>
    </row>
    <row r="3" spans="1:25" x14ac:dyDescent="0.3">
      <c r="A3" s="6"/>
      <c r="B3" s="6"/>
      <c r="C3" s="6"/>
      <c r="D3" s="6"/>
      <c r="E3" s="6"/>
      <c r="F3" s="6"/>
      <c r="G3" s="6"/>
      <c r="H3" s="6"/>
      <c r="I3" s="6"/>
      <c r="J3" s="6"/>
      <c r="K3" s="6"/>
      <c r="L3" s="6"/>
      <c r="M3" s="6"/>
      <c r="N3" s="6"/>
      <c r="O3" s="6"/>
      <c r="P3" s="6"/>
      <c r="Q3" s="6"/>
      <c r="R3" s="6"/>
      <c r="S3" s="6"/>
      <c r="T3" s="6"/>
      <c r="U3" s="6"/>
      <c r="V3" s="6"/>
      <c r="W3" s="6"/>
      <c r="X3" s="6"/>
      <c r="Y3" s="8"/>
    </row>
    <row r="4" spans="1:25" x14ac:dyDescent="0.3">
      <c r="A4" s="8"/>
      <c r="B4" s="8"/>
      <c r="C4" s="8"/>
      <c r="D4" s="8"/>
      <c r="E4" s="8"/>
      <c r="F4" s="8"/>
      <c r="G4" s="8"/>
      <c r="H4" s="8"/>
      <c r="I4" s="8"/>
      <c r="J4" s="8"/>
      <c r="K4" s="8"/>
      <c r="L4" s="8"/>
      <c r="M4" s="8"/>
      <c r="N4" s="8"/>
      <c r="O4" s="8"/>
      <c r="P4" s="8"/>
      <c r="Q4" s="8"/>
      <c r="R4" s="8"/>
      <c r="S4" s="8"/>
      <c r="T4" s="8"/>
      <c r="U4" s="8"/>
      <c r="V4" s="8"/>
      <c r="W4" s="8"/>
      <c r="X4" s="8"/>
      <c r="Y4" s="8"/>
    </row>
    <row r="5" spans="1:25" x14ac:dyDescent="0.3">
      <c r="A5" s="8"/>
      <c r="B5" s="8"/>
      <c r="C5" s="8"/>
      <c r="D5" s="8"/>
      <c r="E5" s="8"/>
      <c r="F5" s="8"/>
      <c r="G5" s="8"/>
      <c r="H5" s="8"/>
      <c r="I5" s="8"/>
      <c r="J5" s="8"/>
      <c r="K5" s="8"/>
      <c r="L5" s="8"/>
      <c r="M5" s="8"/>
      <c r="N5" s="8"/>
      <c r="O5" s="8"/>
      <c r="P5" s="8"/>
      <c r="Q5" s="8"/>
      <c r="R5" s="8"/>
      <c r="S5" s="8"/>
      <c r="T5" s="8"/>
      <c r="U5" s="8"/>
      <c r="V5" s="8"/>
      <c r="W5" s="8"/>
      <c r="X5" s="8"/>
      <c r="Y5" s="8"/>
    </row>
    <row r="6" spans="1:25" x14ac:dyDescent="0.3">
      <c r="A6" s="8"/>
      <c r="B6" s="8"/>
      <c r="C6" s="8"/>
      <c r="D6" s="8"/>
      <c r="E6" s="8"/>
      <c r="F6" s="8"/>
      <c r="G6" s="8"/>
      <c r="H6" s="8"/>
      <c r="I6" s="8"/>
      <c r="J6" s="8"/>
      <c r="K6" s="8"/>
      <c r="L6" s="8"/>
      <c r="M6" s="8"/>
      <c r="N6" s="8"/>
      <c r="O6" s="8"/>
      <c r="P6" s="8"/>
      <c r="Q6" s="8"/>
      <c r="R6" s="8"/>
      <c r="S6" s="8"/>
      <c r="T6" s="8"/>
      <c r="U6" s="8"/>
      <c r="V6" s="8"/>
      <c r="W6" s="8"/>
      <c r="X6" s="8"/>
      <c r="Y6" s="8"/>
    </row>
    <row r="7" spans="1:25" ht="28.2" customHeight="1" x14ac:dyDescent="0.3">
      <c r="A7" s="8"/>
      <c r="B7" s="8"/>
      <c r="C7" s="8"/>
      <c r="D7" s="8"/>
      <c r="E7" s="8"/>
      <c r="F7" s="8"/>
      <c r="G7" s="8"/>
      <c r="H7" s="8"/>
      <c r="I7" s="8"/>
      <c r="J7" s="8"/>
      <c r="K7" s="8"/>
      <c r="L7" s="8"/>
      <c r="M7" s="8"/>
      <c r="N7" s="8"/>
      <c r="O7" s="8"/>
      <c r="P7" s="8"/>
      <c r="Q7" s="8"/>
      <c r="R7" s="8"/>
      <c r="S7" s="8"/>
      <c r="T7" s="8"/>
      <c r="U7" s="8"/>
      <c r="V7" s="8"/>
      <c r="W7" s="8"/>
      <c r="X7" s="8"/>
      <c r="Y7" s="8"/>
    </row>
    <row r="8" spans="1:25" x14ac:dyDescent="0.3">
      <c r="A8" s="8"/>
      <c r="B8" s="8"/>
      <c r="C8" s="8"/>
      <c r="D8" s="8"/>
      <c r="E8" s="8"/>
      <c r="F8" s="8"/>
      <c r="G8" s="8"/>
      <c r="H8" s="8"/>
      <c r="I8" s="8"/>
      <c r="J8" s="8"/>
      <c r="K8" s="8"/>
      <c r="L8" s="8"/>
      <c r="M8" s="8"/>
      <c r="N8" s="8"/>
      <c r="O8" s="8"/>
      <c r="P8" s="8"/>
      <c r="Q8" s="8"/>
      <c r="R8" s="8"/>
      <c r="S8" s="8"/>
      <c r="T8" s="8"/>
      <c r="U8" s="8"/>
      <c r="V8" s="8"/>
      <c r="W8" s="8"/>
      <c r="X8" s="8"/>
      <c r="Y8" s="8"/>
    </row>
    <row r="9" spans="1:25" x14ac:dyDescent="0.3">
      <c r="A9" s="8"/>
      <c r="B9" s="8"/>
      <c r="C9" s="8"/>
      <c r="D9" s="8"/>
      <c r="E9" s="8"/>
      <c r="F9" s="8"/>
      <c r="G9" s="8"/>
      <c r="H9" s="8"/>
      <c r="I9" s="8"/>
      <c r="J9" s="8"/>
      <c r="K9" s="8"/>
      <c r="L9" s="8"/>
      <c r="M9" s="8"/>
      <c r="N9" s="8"/>
      <c r="O9" s="8"/>
      <c r="P9" s="8"/>
      <c r="Q9" s="8"/>
      <c r="R9" s="8"/>
      <c r="S9" s="8"/>
      <c r="T9" s="8"/>
      <c r="U9" s="8"/>
      <c r="V9" s="8"/>
      <c r="W9" s="8"/>
      <c r="X9" s="8"/>
      <c r="Y9" s="8"/>
    </row>
    <row r="10" spans="1:25" x14ac:dyDescent="0.3">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3">
      <c r="A11" s="8"/>
      <c r="B11" s="8"/>
      <c r="C11" s="8"/>
      <c r="D11" s="8"/>
      <c r="E11" s="8"/>
      <c r="F11" s="8"/>
      <c r="G11" s="8"/>
      <c r="H11" s="8"/>
      <c r="I11" s="8"/>
      <c r="J11" s="8"/>
      <c r="K11" s="8"/>
      <c r="L11" s="8"/>
      <c r="M11" s="8"/>
      <c r="N11" s="8"/>
      <c r="O11" s="8"/>
      <c r="P11" s="8"/>
      <c r="Q11" s="8"/>
      <c r="R11" s="8"/>
      <c r="S11" s="8"/>
      <c r="T11" s="8"/>
      <c r="U11" s="8"/>
      <c r="V11" s="8"/>
      <c r="W11" s="8"/>
      <c r="X11" s="8"/>
      <c r="Y11" s="8"/>
    </row>
    <row r="12" spans="1:25" x14ac:dyDescent="0.3">
      <c r="A12" s="8"/>
      <c r="B12" s="8"/>
      <c r="C12" s="8"/>
      <c r="D12" s="8"/>
      <c r="E12" s="8"/>
      <c r="F12" s="8"/>
      <c r="G12" s="8"/>
      <c r="H12" s="8"/>
      <c r="I12" s="8"/>
      <c r="J12" s="8"/>
      <c r="K12" s="8"/>
      <c r="L12" s="8"/>
      <c r="M12" s="8"/>
      <c r="N12" s="8"/>
      <c r="O12" s="8"/>
      <c r="P12" s="8"/>
      <c r="Q12" s="8"/>
      <c r="R12" s="8"/>
      <c r="S12" s="8"/>
      <c r="T12" s="8"/>
      <c r="U12" s="8"/>
      <c r="V12" s="8"/>
      <c r="W12" s="8"/>
      <c r="X12" s="8"/>
      <c r="Y12" s="8"/>
    </row>
    <row r="13" spans="1:25" x14ac:dyDescent="0.3">
      <c r="A13" s="8"/>
      <c r="B13" s="8"/>
      <c r="C13" s="8"/>
      <c r="D13" s="8"/>
      <c r="E13" s="8"/>
      <c r="F13" s="8"/>
      <c r="G13" s="8"/>
      <c r="H13" s="8"/>
      <c r="I13" s="8"/>
      <c r="J13" s="8"/>
      <c r="K13" s="8"/>
      <c r="L13" s="8"/>
      <c r="M13" s="8"/>
      <c r="N13" s="8"/>
      <c r="O13" s="8"/>
      <c r="P13" s="8"/>
      <c r="Q13" s="8"/>
      <c r="R13" s="8"/>
      <c r="S13" s="8"/>
      <c r="T13" s="8"/>
      <c r="U13" s="8"/>
      <c r="V13" s="8"/>
      <c r="W13" s="8"/>
      <c r="X13" s="8"/>
      <c r="Y13" s="8"/>
    </row>
    <row r="14" spans="1:25" x14ac:dyDescent="0.3">
      <c r="A14" s="8"/>
      <c r="B14" s="8"/>
      <c r="C14" s="8"/>
      <c r="D14" s="8"/>
      <c r="E14" s="8"/>
      <c r="F14" s="8"/>
      <c r="G14" s="8"/>
      <c r="H14" s="8"/>
      <c r="I14" s="8"/>
      <c r="J14" s="8"/>
      <c r="K14" s="8"/>
      <c r="L14" s="8"/>
      <c r="M14" s="8"/>
      <c r="N14" s="8"/>
      <c r="O14" s="8"/>
      <c r="P14" s="8"/>
      <c r="Q14" s="8"/>
      <c r="R14" s="8"/>
      <c r="S14" s="8"/>
      <c r="T14" s="8"/>
      <c r="U14" s="8"/>
      <c r="V14" s="8"/>
      <c r="W14" s="8"/>
      <c r="X14" s="8"/>
      <c r="Y14" s="8"/>
    </row>
    <row r="15" spans="1:25" x14ac:dyDescent="0.3">
      <c r="A15" s="8"/>
      <c r="B15" s="8"/>
      <c r="C15" s="8"/>
      <c r="D15" s="8"/>
      <c r="E15" s="8"/>
      <c r="F15" s="8"/>
      <c r="G15" s="8"/>
      <c r="H15" s="8"/>
      <c r="I15" s="8"/>
      <c r="J15" s="8"/>
      <c r="K15" s="8"/>
      <c r="L15" s="8"/>
      <c r="M15" s="8"/>
      <c r="N15" s="8"/>
      <c r="O15" s="8"/>
      <c r="P15" s="8"/>
      <c r="Q15" s="8"/>
      <c r="R15" s="8"/>
      <c r="S15" s="8"/>
      <c r="T15" s="8"/>
      <c r="U15" s="8"/>
      <c r="V15" s="8"/>
      <c r="W15" s="8"/>
      <c r="X15" s="8"/>
      <c r="Y15" s="8"/>
    </row>
    <row r="16" spans="1:25" x14ac:dyDescent="0.3">
      <c r="A16" s="8"/>
      <c r="B16" s="8"/>
      <c r="C16" s="8"/>
      <c r="D16" s="8"/>
      <c r="E16" s="8"/>
      <c r="F16" s="8"/>
      <c r="G16" s="8"/>
      <c r="H16" s="8"/>
      <c r="I16" s="8"/>
      <c r="J16" s="8"/>
      <c r="K16" s="8"/>
      <c r="L16" s="8"/>
      <c r="M16" s="8"/>
      <c r="N16" s="8"/>
      <c r="O16" s="8"/>
      <c r="P16" s="8"/>
      <c r="Q16" s="8"/>
      <c r="R16" s="8"/>
      <c r="S16" s="8"/>
      <c r="T16" s="8"/>
      <c r="U16" s="8"/>
      <c r="V16" s="8"/>
      <c r="W16" s="8"/>
      <c r="X16" s="8"/>
      <c r="Y16" s="8"/>
    </row>
    <row r="17" spans="1:25" x14ac:dyDescent="0.3">
      <c r="A17" s="8"/>
      <c r="B17" s="8"/>
      <c r="C17" s="8"/>
      <c r="D17" s="8"/>
      <c r="E17" s="8"/>
      <c r="F17" s="8"/>
      <c r="G17" s="8"/>
      <c r="H17" s="8"/>
      <c r="I17" s="8"/>
      <c r="J17" s="8"/>
      <c r="K17" s="8"/>
      <c r="L17" s="8"/>
      <c r="M17" s="8"/>
      <c r="N17" s="8"/>
      <c r="O17" s="8"/>
      <c r="P17" s="8"/>
      <c r="Q17" s="8"/>
      <c r="R17" s="8"/>
      <c r="S17" s="8"/>
      <c r="T17" s="8"/>
      <c r="U17" s="8"/>
      <c r="V17" s="8"/>
      <c r="W17" s="8"/>
      <c r="X17" s="8"/>
      <c r="Y17" s="8"/>
    </row>
    <row r="18" spans="1:25" x14ac:dyDescent="0.3">
      <c r="A18" s="8"/>
      <c r="B18" s="8"/>
      <c r="C18" s="8"/>
      <c r="D18" s="8"/>
      <c r="E18" s="8"/>
      <c r="F18" s="8"/>
      <c r="G18" s="8"/>
      <c r="H18" s="8"/>
      <c r="I18" s="8"/>
      <c r="J18" s="8"/>
      <c r="K18" s="8"/>
      <c r="L18" s="8"/>
      <c r="M18" s="8"/>
      <c r="N18" s="8"/>
      <c r="O18" s="8"/>
      <c r="P18" s="8"/>
      <c r="Q18" s="8"/>
      <c r="R18" s="8"/>
      <c r="S18" s="8"/>
      <c r="T18" s="8"/>
      <c r="U18" s="8"/>
      <c r="V18" s="8"/>
      <c r="W18" s="8"/>
      <c r="X18" s="8"/>
      <c r="Y18" s="8"/>
    </row>
    <row r="19" spans="1:25" x14ac:dyDescent="0.3">
      <c r="A19" s="8"/>
      <c r="B19" s="8"/>
      <c r="C19" s="8"/>
      <c r="D19" s="8"/>
      <c r="E19" s="8"/>
      <c r="F19" s="8"/>
      <c r="G19" s="8"/>
      <c r="H19" s="8"/>
      <c r="I19" s="8"/>
      <c r="J19" s="8"/>
      <c r="K19" s="8"/>
      <c r="L19" s="8"/>
      <c r="M19" s="8"/>
      <c r="N19" s="8"/>
      <c r="O19" s="8"/>
      <c r="P19" s="8"/>
      <c r="Q19" s="8"/>
      <c r="R19" s="8"/>
      <c r="S19" s="8"/>
      <c r="T19" s="8"/>
      <c r="U19" s="8"/>
      <c r="V19" s="8"/>
      <c r="W19" s="8"/>
      <c r="X19" s="8"/>
      <c r="Y19" s="8"/>
    </row>
    <row r="20" spans="1:25" x14ac:dyDescent="0.3">
      <c r="A20" s="8"/>
      <c r="B20" s="8"/>
      <c r="C20" s="8"/>
      <c r="D20" s="8"/>
      <c r="E20" s="8"/>
      <c r="F20" s="8"/>
      <c r="G20" s="8"/>
      <c r="H20" s="8"/>
      <c r="I20" s="8"/>
      <c r="J20" s="8"/>
      <c r="K20" s="8"/>
      <c r="L20" s="8"/>
      <c r="M20" s="8"/>
      <c r="N20" s="8"/>
      <c r="O20" s="8"/>
      <c r="P20" s="8"/>
      <c r="Q20" s="8"/>
      <c r="R20" s="8"/>
      <c r="S20" s="8"/>
      <c r="T20" s="8"/>
      <c r="U20" s="8"/>
      <c r="V20" s="8"/>
      <c r="W20" s="8"/>
      <c r="X20" s="8"/>
      <c r="Y20" s="8"/>
    </row>
    <row r="21" spans="1:25" x14ac:dyDescent="0.3">
      <c r="A21" s="8"/>
      <c r="B21" s="8"/>
      <c r="C21" s="8"/>
      <c r="D21" s="8"/>
      <c r="E21" s="8"/>
      <c r="F21" s="8"/>
      <c r="G21" s="8"/>
      <c r="H21" s="8"/>
      <c r="I21" s="8"/>
      <c r="J21" s="8"/>
      <c r="K21" s="8"/>
      <c r="L21" s="8"/>
      <c r="M21" s="8"/>
      <c r="N21" s="8"/>
      <c r="O21" s="8"/>
      <c r="P21" s="8"/>
      <c r="Q21" s="8"/>
      <c r="R21" s="8"/>
      <c r="S21" s="8"/>
      <c r="T21" s="8"/>
      <c r="U21" s="8"/>
      <c r="V21" s="8"/>
      <c r="W21" s="8"/>
      <c r="X21" s="8"/>
      <c r="Y21" s="8"/>
    </row>
    <row r="22" spans="1:25" x14ac:dyDescent="0.3">
      <c r="A22" s="8"/>
      <c r="B22" s="8"/>
      <c r="C22" s="8"/>
      <c r="D22" s="8"/>
      <c r="E22" s="8"/>
      <c r="F22" s="8"/>
      <c r="G22" s="8"/>
      <c r="H22" s="8"/>
      <c r="I22" s="8"/>
      <c r="J22" s="8"/>
      <c r="K22" s="8"/>
      <c r="L22" s="8"/>
      <c r="M22" s="8"/>
      <c r="N22" s="8"/>
      <c r="O22" s="8"/>
      <c r="P22" s="8"/>
      <c r="Q22" s="8"/>
      <c r="R22" s="8"/>
      <c r="S22" s="8"/>
      <c r="T22" s="8"/>
      <c r="U22" s="8"/>
      <c r="V22" s="8"/>
      <c r="W22" s="8"/>
      <c r="X22" s="8"/>
      <c r="Y22" s="8"/>
    </row>
    <row r="23" spans="1:25" x14ac:dyDescent="0.3">
      <c r="A23" s="8"/>
      <c r="B23" s="8"/>
      <c r="C23" s="8"/>
      <c r="D23" s="8"/>
      <c r="E23" s="8"/>
      <c r="F23" s="8"/>
      <c r="G23" s="8"/>
      <c r="H23" s="8"/>
      <c r="I23" s="8"/>
      <c r="J23" s="8"/>
      <c r="K23" s="8"/>
      <c r="L23" s="8"/>
      <c r="M23" s="8"/>
      <c r="N23" s="8"/>
      <c r="O23" s="8"/>
      <c r="P23" s="8"/>
      <c r="Q23" s="8"/>
      <c r="R23" s="8"/>
      <c r="S23" s="8"/>
      <c r="T23" s="8"/>
      <c r="U23" s="8"/>
      <c r="V23" s="8"/>
      <c r="W23" s="8"/>
      <c r="X23" s="8"/>
      <c r="Y23" s="8"/>
    </row>
    <row r="24" spans="1:25" x14ac:dyDescent="0.3">
      <c r="A24" s="8"/>
      <c r="B24" s="8"/>
      <c r="C24" s="8"/>
      <c r="D24" s="8"/>
      <c r="E24" s="8"/>
      <c r="F24" s="8"/>
      <c r="G24" s="8"/>
      <c r="H24" s="8"/>
      <c r="I24" s="8"/>
      <c r="J24" s="8"/>
      <c r="K24" s="8"/>
      <c r="L24" s="8"/>
      <c r="M24" s="8"/>
      <c r="N24" s="8"/>
      <c r="O24" s="8"/>
      <c r="P24" s="8"/>
      <c r="Q24" s="8"/>
      <c r="R24" s="8"/>
      <c r="S24" s="8"/>
      <c r="T24" s="8"/>
      <c r="U24" s="8"/>
      <c r="V24" s="8"/>
      <c r="W24" s="8"/>
      <c r="X24" s="8"/>
      <c r="Y24" s="8"/>
    </row>
    <row r="25" spans="1:25" x14ac:dyDescent="0.3">
      <c r="A25" s="8"/>
      <c r="B25" s="8"/>
      <c r="C25" s="8"/>
      <c r="D25" s="8"/>
      <c r="E25" s="8"/>
      <c r="F25" s="8"/>
      <c r="G25" s="8"/>
      <c r="H25" s="8"/>
      <c r="I25" s="8"/>
      <c r="J25" s="8"/>
      <c r="K25" s="8"/>
      <c r="L25" s="8"/>
      <c r="M25" s="8"/>
      <c r="N25" s="8"/>
      <c r="O25" s="8"/>
      <c r="P25" s="8"/>
      <c r="Q25" s="8"/>
      <c r="R25" s="8"/>
      <c r="S25" s="8"/>
      <c r="T25" s="8"/>
      <c r="U25" s="8"/>
      <c r="V25" s="8"/>
      <c r="W25" s="8"/>
      <c r="X25" s="8"/>
      <c r="Y25" s="8"/>
    </row>
    <row r="26" spans="1:25" x14ac:dyDescent="0.3">
      <c r="A26" s="8"/>
      <c r="B26" s="8"/>
      <c r="C26" s="8"/>
      <c r="D26" s="8"/>
      <c r="E26" s="8"/>
      <c r="F26" s="8"/>
      <c r="G26" s="8"/>
      <c r="H26" s="8"/>
      <c r="I26" s="8"/>
      <c r="J26" s="8"/>
      <c r="K26" s="8"/>
      <c r="L26" s="8"/>
      <c r="M26" s="8"/>
      <c r="N26" s="8"/>
      <c r="O26" s="8"/>
      <c r="P26" s="8"/>
      <c r="Q26" s="8"/>
      <c r="R26" s="8"/>
      <c r="S26" s="8"/>
      <c r="T26" s="8"/>
      <c r="U26" s="8"/>
      <c r="V26" s="8"/>
      <c r="W26" s="8"/>
      <c r="X26" s="8"/>
      <c r="Y26" s="8"/>
    </row>
    <row r="27" spans="1:25" x14ac:dyDescent="0.3">
      <c r="A27" s="8"/>
      <c r="B27" s="8"/>
      <c r="C27" s="8"/>
      <c r="D27" s="8"/>
      <c r="E27" s="8"/>
      <c r="F27" s="8"/>
      <c r="G27" s="8"/>
      <c r="H27" s="8"/>
      <c r="I27" s="8"/>
      <c r="J27" s="8"/>
      <c r="K27" s="8"/>
      <c r="L27" s="8"/>
      <c r="M27" s="8"/>
      <c r="N27" s="8"/>
      <c r="O27" s="8"/>
      <c r="P27" s="8"/>
      <c r="Q27" s="8"/>
      <c r="R27" s="8"/>
      <c r="S27" s="8"/>
      <c r="T27" s="8"/>
      <c r="U27" s="8"/>
      <c r="V27" s="8"/>
      <c r="W27" s="8"/>
      <c r="X27" s="8"/>
      <c r="Y27" s="8"/>
    </row>
    <row r="28" spans="1:25" x14ac:dyDescent="0.3">
      <c r="A28" s="8"/>
      <c r="B28" s="8"/>
      <c r="C28" s="8"/>
      <c r="D28" s="8"/>
      <c r="E28" s="8"/>
      <c r="F28" s="8"/>
      <c r="G28" s="8"/>
      <c r="H28" s="8"/>
      <c r="I28" s="8"/>
      <c r="J28" s="8"/>
      <c r="K28" s="8"/>
      <c r="L28" s="8"/>
      <c r="M28" s="8"/>
      <c r="N28" s="8"/>
      <c r="O28" s="8"/>
      <c r="P28" s="8"/>
      <c r="Q28" s="8"/>
      <c r="R28" s="8"/>
      <c r="S28" s="8"/>
      <c r="T28" s="8"/>
      <c r="U28" s="8"/>
      <c r="V28" s="8"/>
      <c r="W28" s="8"/>
      <c r="X28" s="8"/>
      <c r="Y28" s="8"/>
    </row>
    <row r="29" spans="1:25" x14ac:dyDescent="0.3">
      <c r="A29" s="8"/>
      <c r="B29" s="8"/>
      <c r="C29" s="8"/>
      <c r="D29" s="8"/>
      <c r="E29" s="8"/>
      <c r="F29" s="8"/>
      <c r="G29" s="8"/>
      <c r="H29" s="8"/>
      <c r="I29" s="8"/>
      <c r="J29" s="8"/>
      <c r="K29" s="8"/>
      <c r="L29" s="8"/>
      <c r="M29" s="8"/>
      <c r="N29" s="8"/>
      <c r="O29" s="8"/>
      <c r="P29" s="8"/>
      <c r="Q29" s="8"/>
      <c r="R29" s="8"/>
      <c r="S29" s="8"/>
      <c r="T29" s="8"/>
      <c r="U29" s="8"/>
      <c r="V29" s="8"/>
      <c r="W29" s="8"/>
      <c r="X29" s="8"/>
      <c r="Y29" s="8"/>
    </row>
    <row r="30" spans="1:25" x14ac:dyDescent="0.3">
      <c r="A30" s="8"/>
      <c r="B30" s="8"/>
      <c r="C30" s="8"/>
      <c r="D30" s="8"/>
      <c r="E30" s="8"/>
      <c r="F30" s="8"/>
      <c r="G30" s="8"/>
      <c r="H30" s="8"/>
      <c r="I30" s="8"/>
      <c r="J30" s="8"/>
      <c r="K30" s="8"/>
      <c r="L30" s="8"/>
      <c r="M30" s="8"/>
      <c r="N30" s="8"/>
      <c r="O30" s="8"/>
      <c r="P30" s="8"/>
      <c r="Q30" s="8"/>
      <c r="R30" s="8"/>
      <c r="S30" s="8"/>
      <c r="T30" s="8"/>
      <c r="U30" s="8"/>
      <c r="V30" s="8"/>
      <c r="W30" s="8"/>
      <c r="X30" s="8"/>
      <c r="Y30" s="8"/>
    </row>
    <row r="31" spans="1:25" x14ac:dyDescent="0.3">
      <c r="A31" s="10" t="s">
        <v>295</v>
      </c>
      <c r="B31" s="9"/>
      <c r="C31" s="9"/>
      <c r="D31" s="9"/>
      <c r="E31" s="9"/>
      <c r="F31" s="9"/>
      <c r="G31" s="9"/>
      <c r="H31" s="9"/>
      <c r="I31" s="9"/>
      <c r="J31" s="9"/>
      <c r="K31" s="9"/>
      <c r="L31" s="9"/>
      <c r="M31" s="9"/>
      <c r="N31" s="9"/>
      <c r="O31" s="9"/>
      <c r="P31" s="9"/>
      <c r="Q31" s="9"/>
      <c r="R31" s="9"/>
      <c r="S31" s="9"/>
      <c r="T31" s="9"/>
      <c r="U31" s="9"/>
      <c r="V31" s="9"/>
      <c r="W31" s="9"/>
      <c r="X31" s="8"/>
      <c r="Y31" s="8"/>
    </row>
    <row r="32" spans="1:25" x14ac:dyDescent="0.3">
      <c r="A32" s="9"/>
      <c r="B32" s="9"/>
      <c r="C32" s="9"/>
      <c r="D32" s="9"/>
      <c r="E32" s="9"/>
      <c r="F32" s="9"/>
      <c r="G32" s="9"/>
      <c r="H32" s="9"/>
      <c r="I32" s="9"/>
      <c r="J32" s="9"/>
      <c r="K32" s="9"/>
      <c r="L32" s="9"/>
      <c r="M32" s="9"/>
      <c r="N32" s="9"/>
      <c r="O32" s="9"/>
      <c r="P32" s="9"/>
      <c r="Q32" s="9"/>
      <c r="R32" s="9"/>
      <c r="S32" s="9"/>
      <c r="T32" s="9"/>
      <c r="U32" s="9"/>
      <c r="V32" s="9"/>
      <c r="W32" s="9"/>
      <c r="X32" s="8"/>
      <c r="Y32" s="8"/>
    </row>
    <row r="33" spans="1:25" x14ac:dyDescent="0.3">
      <c r="A33" s="9"/>
      <c r="B33" s="9"/>
      <c r="C33" s="9"/>
      <c r="D33" s="9"/>
      <c r="E33" s="9"/>
      <c r="F33" s="9"/>
      <c r="G33" s="9"/>
      <c r="H33" s="9"/>
      <c r="I33" s="9"/>
      <c r="J33" s="9"/>
      <c r="K33" s="9"/>
      <c r="L33" s="9"/>
      <c r="M33" s="9"/>
      <c r="N33" s="9"/>
      <c r="O33" s="9"/>
      <c r="P33" s="9"/>
      <c r="Q33" s="9"/>
      <c r="R33" s="9"/>
      <c r="S33" s="9"/>
      <c r="T33" s="9"/>
      <c r="U33" s="9"/>
      <c r="V33" s="9"/>
      <c r="W33" s="9"/>
      <c r="X33" s="8"/>
      <c r="Y33" s="8"/>
    </row>
    <row r="34" spans="1:25" x14ac:dyDescent="0.3">
      <c r="A34" s="8"/>
      <c r="B34" s="8"/>
      <c r="C34" s="8"/>
      <c r="D34" s="8"/>
      <c r="E34" s="8"/>
      <c r="F34" s="8"/>
      <c r="G34" s="8"/>
      <c r="H34" s="8"/>
      <c r="I34" s="8"/>
      <c r="J34" s="8"/>
      <c r="K34" s="8"/>
      <c r="L34" s="8"/>
      <c r="M34" s="8"/>
      <c r="N34" s="8"/>
      <c r="O34" s="8"/>
      <c r="P34" s="8"/>
      <c r="Q34" s="8"/>
      <c r="R34" s="8"/>
      <c r="S34" s="8"/>
      <c r="T34" s="8"/>
      <c r="U34" s="8"/>
      <c r="V34" s="8"/>
      <c r="W34" s="8"/>
      <c r="X34" s="8"/>
      <c r="Y34" s="8"/>
    </row>
    <row r="35" spans="1:25" x14ac:dyDescent="0.3">
      <c r="A35" s="8"/>
      <c r="B35" s="8"/>
      <c r="C35" s="8"/>
      <c r="D35" s="8"/>
      <c r="E35" s="8"/>
      <c r="F35" s="8"/>
      <c r="G35" s="8"/>
      <c r="H35" s="8"/>
      <c r="I35" s="8"/>
      <c r="J35" s="8"/>
      <c r="K35" s="8"/>
      <c r="L35" s="8"/>
      <c r="M35" s="8"/>
      <c r="N35" s="8"/>
      <c r="O35" s="8"/>
      <c r="P35" s="8"/>
      <c r="Q35" s="8"/>
      <c r="R35" s="8"/>
      <c r="S35" s="8"/>
      <c r="T35" s="8"/>
      <c r="U35" s="8"/>
      <c r="V35" s="8"/>
      <c r="W35" s="8"/>
      <c r="X35" s="8"/>
      <c r="Y35" s="8"/>
    </row>
    <row r="36" spans="1:25" x14ac:dyDescent="0.3">
      <c r="A36" s="8"/>
      <c r="B36" s="8"/>
      <c r="C36" s="8"/>
      <c r="D36" s="8"/>
      <c r="E36" s="8"/>
      <c r="F36" s="8"/>
      <c r="G36" s="8"/>
      <c r="H36" s="8"/>
      <c r="I36" s="8"/>
      <c r="J36" s="8"/>
      <c r="K36" s="8"/>
      <c r="L36" s="8"/>
      <c r="M36" s="8"/>
      <c r="N36" s="8"/>
      <c r="O36" s="8"/>
      <c r="P36" s="8"/>
      <c r="Q36" s="8"/>
      <c r="R36" s="8"/>
      <c r="S36" s="8"/>
      <c r="T36" s="8"/>
      <c r="U36" s="8"/>
      <c r="V36" s="8"/>
      <c r="W36" s="8"/>
      <c r="X36" s="8"/>
      <c r="Y36" s="8"/>
    </row>
    <row r="37" spans="1:25" x14ac:dyDescent="0.3">
      <c r="A37" s="8"/>
      <c r="B37" s="8"/>
      <c r="C37" s="8"/>
      <c r="D37" s="8"/>
      <c r="E37" s="8"/>
      <c r="F37" s="8"/>
      <c r="G37" s="8"/>
      <c r="H37" s="8"/>
      <c r="I37" s="8"/>
      <c r="J37" s="8"/>
      <c r="K37" s="8"/>
      <c r="L37" s="8"/>
      <c r="M37" s="8"/>
      <c r="N37" s="8"/>
      <c r="O37" s="8"/>
      <c r="P37" s="8"/>
      <c r="Q37" s="8"/>
      <c r="R37" s="8"/>
      <c r="S37" s="8"/>
      <c r="T37" s="8"/>
      <c r="U37" s="8"/>
      <c r="V37" s="8"/>
      <c r="W37" s="8"/>
      <c r="X37" s="8"/>
      <c r="Y37" s="8"/>
    </row>
    <row r="38" spans="1:25" x14ac:dyDescent="0.3">
      <c r="A38" s="8"/>
      <c r="B38" s="8"/>
      <c r="C38" s="8"/>
      <c r="D38" s="8"/>
      <c r="E38" s="8"/>
      <c r="F38" s="8"/>
      <c r="G38" s="8"/>
      <c r="H38" s="8"/>
      <c r="I38" s="8"/>
      <c r="J38" s="8"/>
      <c r="K38" s="8"/>
      <c r="L38" s="8"/>
      <c r="M38" s="8"/>
      <c r="N38" s="8"/>
      <c r="O38" s="8"/>
      <c r="P38" s="8"/>
      <c r="Q38" s="8"/>
      <c r="R38" s="8"/>
      <c r="S38" s="8"/>
      <c r="T38" s="8"/>
      <c r="U38" s="8"/>
      <c r="V38" s="8"/>
      <c r="W38" s="8"/>
      <c r="X38" s="8"/>
      <c r="Y38" s="8"/>
    </row>
    <row r="39" spans="1:25" x14ac:dyDescent="0.3">
      <c r="A39" s="8"/>
      <c r="B39" s="8"/>
      <c r="C39" s="8"/>
      <c r="D39" s="8"/>
      <c r="E39" s="8"/>
      <c r="F39" s="8"/>
      <c r="G39" s="8"/>
      <c r="H39" s="8"/>
      <c r="I39" s="8"/>
      <c r="J39" s="8"/>
      <c r="K39" s="8"/>
      <c r="L39" s="8"/>
      <c r="M39" s="8"/>
      <c r="N39" s="8"/>
      <c r="O39" s="8"/>
      <c r="P39" s="8"/>
      <c r="Q39" s="8"/>
      <c r="R39" s="8"/>
      <c r="S39" s="8"/>
      <c r="T39" s="8"/>
      <c r="U39" s="8"/>
      <c r="V39" s="8"/>
      <c r="W39" s="8"/>
      <c r="X39" s="8"/>
      <c r="Y39" s="8"/>
    </row>
    <row r="40" spans="1:25" x14ac:dyDescent="0.3">
      <c r="A40" s="8"/>
      <c r="B40" s="8"/>
      <c r="C40" s="8"/>
      <c r="D40" s="8"/>
      <c r="E40" s="8"/>
      <c r="F40" s="8"/>
      <c r="G40" s="8"/>
      <c r="H40" s="8"/>
      <c r="I40" s="8"/>
      <c r="J40" s="8"/>
      <c r="K40" s="8"/>
      <c r="L40" s="8"/>
      <c r="M40" s="8"/>
      <c r="N40" s="8"/>
      <c r="O40" s="8"/>
      <c r="P40" s="8"/>
      <c r="Q40" s="8"/>
      <c r="R40" s="8"/>
      <c r="S40" s="8"/>
      <c r="T40" s="8"/>
      <c r="U40" s="8"/>
      <c r="V40" s="8"/>
      <c r="W40" s="8"/>
      <c r="X40" s="8"/>
      <c r="Y40" s="8"/>
    </row>
    <row r="41" spans="1:25" x14ac:dyDescent="0.3">
      <c r="A41" s="8"/>
      <c r="B41" s="8"/>
      <c r="C41" s="8"/>
      <c r="D41" s="8"/>
      <c r="E41" s="8"/>
      <c r="F41" s="8"/>
      <c r="G41" s="8"/>
      <c r="H41" s="8"/>
      <c r="I41" s="8"/>
      <c r="J41" s="8"/>
      <c r="K41" s="8"/>
      <c r="L41" s="8"/>
      <c r="M41" s="8"/>
      <c r="N41" s="8"/>
      <c r="O41" s="8"/>
      <c r="P41" s="8"/>
      <c r="Q41" s="8"/>
      <c r="R41" s="8"/>
      <c r="S41" s="8"/>
      <c r="T41" s="8"/>
      <c r="U41" s="8"/>
      <c r="V41" s="8"/>
      <c r="W41" s="8"/>
      <c r="X41" s="8"/>
      <c r="Y41" s="8"/>
    </row>
    <row r="42" spans="1:25" x14ac:dyDescent="0.3">
      <c r="A42" s="8"/>
      <c r="B42" s="8"/>
      <c r="C42" s="8"/>
      <c r="D42" s="8"/>
      <c r="E42" s="8"/>
      <c r="F42" s="8"/>
      <c r="G42" s="8"/>
      <c r="H42" s="8"/>
      <c r="I42" s="8"/>
      <c r="J42" s="8"/>
      <c r="K42" s="8"/>
      <c r="L42" s="8"/>
      <c r="M42" s="8"/>
      <c r="N42" s="8"/>
      <c r="O42" s="8"/>
      <c r="P42" s="8"/>
      <c r="Q42" s="8"/>
      <c r="R42" s="8"/>
      <c r="S42" s="8"/>
      <c r="T42" s="8"/>
      <c r="U42" s="8"/>
      <c r="V42" s="8"/>
      <c r="W42" s="8"/>
      <c r="X42" s="8"/>
      <c r="Y42" s="8"/>
    </row>
    <row r="43" spans="1:25" x14ac:dyDescent="0.3">
      <c r="A43" s="8"/>
      <c r="B43" s="8"/>
      <c r="C43" s="8"/>
      <c r="D43" s="8"/>
      <c r="E43" s="8"/>
      <c r="F43" s="8"/>
      <c r="G43" s="8"/>
      <c r="H43" s="8"/>
      <c r="I43" s="8"/>
      <c r="J43" s="8"/>
      <c r="K43" s="8"/>
      <c r="L43" s="8"/>
      <c r="M43" s="8"/>
      <c r="N43" s="8"/>
      <c r="O43" s="8"/>
      <c r="P43" s="8"/>
      <c r="Q43" s="8"/>
      <c r="R43" s="8"/>
      <c r="S43" s="8"/>
      <c r="T43" s="8"/>
      <c r="U43" s="8"/>
      <c r="V43" s="8"/>
      <c r="W43" s="8"/>
      <c r="X43" s="8"/>
      <c r="Y43" s="8"/>
    </row>
    <row r="44" spans="1:25" x14ac:dyDescent="0.3">
      <c r="A44" s="8"/>
      <c r="B44" s="8"/>
      <c r="C44" s="8"/>
      <c r="D44" s="8"/>
      <c r="E44" s="8"/>
      <c r="F44" s="8"/>
      <c r="G44" s="8"/>
      <c r="H44" s="8"/>
      <c r="I44" s="8"/>
      <c r="J44" s="8"/>
      <c r="K44" s="8"/>
      <c r="L44" s="8"/>
      <c r="M44" s="8"/>
      <c r="N44" s="8"/>
      <c r="O44" s="8"/>
      <c r="P44" s="8"/>
      <c r="Q44" s="8"/>
      <c r="R44" s="8"/>
      <c r="S44" s="8"/>
      <c r="T44" s="8"/>
      <c r="U44" s="8"/>
      <c r="V44" s="8"/>
      <c r="W44" s="8"/>
      <c r="X44" s="8"/>
      <c r="Y44" s="8"/>
    </row>
    <row r="45" spans="1:25" x14ac:dyDescent="0.3">
      <c r="A45" s="8"/>
      <c r="B45" s="8"/>
      <c r="C45" s="8"/>
      <c r="D45" s="8"/>
      <c r="E45" s="8"/>
      <c r="F45" s="8"/>
      <c r="G45" s="8"/>
      <c r="H45" s="8"/>
      <c r="I45" s="8"/>
      <c r="J45" s="8"/>
      <c r="K45" s="8"/>
      <c r="L45" s="8"/>
      <c r="M45" s="8"/>
      <c r="N45" s="8"/>
      <c r="O45" s="8"/>
      <c r="P45" s="8"/>
      <c r="Q45" s="8"/>
      <c r="R45" s="8"/>
      <c r="S45" s="8"/>
      <c r="T45" s="8"/>
      <c r="U45" s="8"/>
      <c r="V45" s="8"/>
      <c r="W45" s="8"/>
      <c r="X45" s="8"/>
      <c r="Y45" s="8"/>
    </row>
    <row r="46" spans="1:25" x14ac:dyDescent="0.3">
      <c r="A46" s="8"/>
      <c r="B46" s="8"/>
      <c r="C46" s="8"/>
      <c r="D46" s="8"/>
      <c r="E46" s="8"/>
      <c r="F46" s="8"/>
      <c r="G46" s="8"/>
      <c r="H46" s="8"/>
      <c r="I46" s="8"/>
      <c r="J46" s="8"/>
      <c r="K46" s="8"/>
      <c r="L46" s="8"/>
      <c r="M46" s="8"/>
      <c r="N46" s="8"/>
      <c r="O46" s="8"/>
      <c r="P46" s="8"/>
      <c r="Q46" s="8"/>
      <c r="R46" s="8"/>
      <c r="S46" s="8"/>
      <c r="T46" s="8"/>
      <c r="U46" s="8"/>
      <c r="V46" s="8"/>
      <c r="W46" s="8"/>
      <c r="X46" s="8"/>
      <c r="Y46" s="8"/>
    </row>
    <row r="47" spans="1:25" x14ac:dyDescent="0.3">
      <c r="A47" s="8"/>
      <c r="B47" s="8"/>
      <c r="C47" s="8"/>
      <c r="D47" s="8"/>
      <c r="E47" s="8"/>
      <c r="F47" s="8"/>
      <c r="G47" s="8"/>
      <c r="H47" s="8"/>
      <c r="I47" s="8"/>
      <c r="J47" s="8"/>
      <c r="K47" s="8"/>
      <c r="L47" s="8"/>
      <c r="M47" s="8"/>
      <c r="N47" s="8"/>
      <c r="O47" s="8"/>
      <c r="P47" s="8"/>
      <c r="Q47" s="8"/>
      <c r="R47" s="8"/>
      <c r="S47" s="8"/>
      <c r="T47" s="8"/>
      <c r="U47" s="8"/>
      <c r="V47" s="8"/>
      <c r="W47" s="8"/>
      <c r="X47" s="8"/>
      <c r="Y47" s="8"/>
    </row>
    <row r="48" spans="1:25" x14ac:dyDescent="0.3">
      <c r="A48" s="8"/>
      <c r="B48" s="8"/>
      <c r="C48" s="8"/>
      <c r="D48" s="8"/>
      <c r="E48" s="8"/>
      <c r="F48" s="8"/>
      <c r="G48" s="8"/>
      <c r="H48" s="8"/>
      <c r="I48" s="8"/>
      <c r="J48" s="8"/>
      <c r="K48" s="8"/>
      <c r="L48" s="8"/>
      <c r="M48" s="8"/>
      <c r="N48" s="8"/>
      <c r="O48" s="8"/>
      <c r="P48" s="8"/>
      <c r="Q48" s="8"/>
      <c r="R48" s="8"/>
      <c r="S48" s="8"/>
      <c r="T48" s="8"/>
      <c r="U48" s="8"/>
      <c r="V48" s="8"/>
      <c r="W48" s="8"/>
      <c r="X48" s="8"/>
      <c r="Y48" s="8"/>
    </row>
    <row r="49" spans="1:25" x14ac:dyDescent="0.3">
      <c r="A49" s="8"/>
      <c r="B49" s="8"/>
      <c r="C49" s="8"/>
      <c r="D49" s="8"/>
      <c r="E49" s="8"/>
      <c r="F49" s="8"/>
      <c r="G49" s="8"/>
      <c r="H49" s="8"/>
      <c r="I49" s="8"/>
      <c r="J49" s="8"/>
      <c r="K49" s="8"/>
      <c r="L49" s="8"/>
      <c r="M49" s="8"/>
      <c r="N49" s="8"/>
      <c r="O49" s="8"/>
      <c r="P49" s="8"/>
      <c r="Q49" s="8"/>
      <c r="R49" s="8"/>
      <c r="S49" s="8"/>
      <c r="T49" s="8"/>
      <c r="U49" s="8"/>
      <c r="V49" s="8"/>
      <c r="W49" s="8"/>
      <c r="X49" s="8"/>
      <c r="Y49" s="8"/>
    </row>
    <row r="50" spans="1:25" x14ac:dyDescent="0.3">
      <c r="A50" s="8"/>
      <c r="B50" s="8"/>
      <c r="C50" s="8"/>
      <c r="D50" s="8"/>
      <c r="E50" s="8"/>
      <c r="F50" s="8"/>
      <c r="G50" s="8"/>
      <c r="H50" s="8"/>
      <c r="I50" s="8"/>
      <c r="J50" s="8"/>
      <c r="K50" s="8"/>
      <c r="L50" s="8"/>
      <c r="M50" s="8"/>
      <c r="N50" s="8"/>
      <c r="O50" s="8"/>
      <c r="P50" s="8"/>
      <c r="Q50" s="8"/>
      <c r="R50" s="8"/>
      <c r="S50" s="8"/>
      <c r="T50" s="8"/>
      <c r="U50" s="8"/>
      <c r="V50" s="8"/>
      <c r="W50" s="8"/>
      <c r="X50" s="8"/>
      <c r="Y50" s="8"/>
    </row>
    <row r="51" spans="1:25" x14ac:dyDescent="0.3">
      <c r="A51" s="8"/>
      <c r="B51" s="8"/>
      <c r="C51" s="8"/>
      <c r="D51" s="8"/>
      <c r="E51" s="8"/>
      <c r="F51" s="8"/>
      <c r="G51" s="8"/>
      <c r="H51" s="8"/>
      <c r="I51" s="8"/>
      <c r="J51" s="8"/>
      <c r="K51" s="8"/>
      <c r="L51" s="8"/>
      <c r="M51" s="8"/>
      <c r="N51" s="8"/>
      <c r="O51" s="8"/>
      <c r="P51" s="8"/>
      <c r="Q51" s="8"/>
      <c r="R51" s="8"/>
      <c r="S51" s="8"/>
      <c r="T51" s="8"/>
      <c r="U51" s="8"/>
      <c r="V51" s="8"/>
      <c r="W51" s="8"/>
      <c r="X51" s="8"/>
      <c r="Y51" s="8"/>
    </row>
    <row r="52" spans="1:25" x14ac:dyDescent="0.3">
      <c r="A52" s="8"/>
      <c r="B52" s="8"/>
      <c r="C52" s="8"/>
      <c r="D52" s="8"/>
      <c r="E52" s="8"/>
      <c r="F52" s="8"/>
      <c r="G52" s="8"/>
      <c r="H52" s="8"/>
      <c r="I52" s="8"/>
      <c r="J52" s="8"/>
      <c r="K52" s="8"/>
      <c r="L52" s="8"/>
      <c r="M52" s="8"/>
      <c r="N52" s="8"/>
      <c r="O52" s="8"/>
      <c r="P52" s="8"/>
      <c r="Q52" s="8"/>
      <c r="R52" s="8"/>
      <c r="S52" s="8"/>
      <c r="T52" s="8"/>
      <c r="U52" s="8"/>
      <c r="V52" s="8"/>
      <c r="W52" s="8"/>
      <c r="X52" s="8"/>
      <c r="Y52" s="8"/>
    </row>
    <row r="53" spans="1:25" x14ac:dyDescent="0.3">
      <c r="A53" s="8"/>
      <c r="B53" s="8"/>
      <c r="C53" s="8"/>
      <c r="D53" s="8"/>
      <c r="E53" s="8"/>
      <c r="F53" s="8"/>
      <c r="G53" s="8"/>
      <c r="H53" s="8"/>
      <c r="I53" s="8"/>
      <c r="J53" s="8"/>
      <c r="K53" s="8"/>
      <c r="L53" s="8"/>
      <c r="M53" s="8"/>
      <c r="N53" s="8"/>
      <c r="O53" s="8"/>
      <c r="P53" s="8"/>
      <c r="Q53" s="8"/>
      <c r="R53" s="8"/>
      <c r="S53" s="8"/>
      <c r="T53" s="8"/>
      <c r="U53" s="8"/>
      <c r="V53" s="8"/>
      <c r="W53" s="8"/>
      <c r="X53" s="8"/>
      <c r="Y53" s="8"/>
    </row>
    <row r="54" spans="1:25" x14ac:dyDescent="0.3">
      <c r="A54" s="8"/>
      <c r="B54" s="8"/>
      <c r="C54" s="8"/>
      <c r="D54" s="8"/>
      <c r="E54" s="8"/>
      <c r="F54" s="8"/>
      <c r="G54" s="8"/>
      <c r="H54" s="8"/>
      <c r="I54" s="8"/>
      <c r="J54" s="8"/>
      <c r="K54" s="8"/>
      <c r="L54" s="8"/>
      <c r="M54" s="8"/>
      <c r="N54" s="8"/>
      <c r="O54" s="8"/>
      <c r="P54" s="8"/>
      <c r="Q54" s="8"/>
      <c r="R54" s="8"/>
      <c r="S54" s="8"/>
      <c r="T54" s="8"/>
      <c r="U54" s="8"/>
      <c r="V54" s="8"/>
      <c r="W54" s="8"/>
      <c r="X54" s="8"/>
      <c r="Y54" s="8"/>
    </row>
    <row r="55" spans="1:25" x14ac:dyDescent="0.3">
      <c r="A55" s="8"/>
      <c r="B55" s="8"/>
      <c r="C55" s="8"/>
      <c r="D55" s="8"/>
      <c r="E55" s="8"/>
      <c r="F55" s="8"/>
      <c r="G55" s="8"/>
      <c r="H55" s="8"/>
      <c r="I55" s="8"/>
      <c r="J55" s="8"/>
      <c r="K55" s="8"/>
      <c r="L55" s="8"/>
      <c r="M55" s="8"/>
      <c r="N55" s="8"/>
      <c r="O55" s="8"/>
      <c r="P55" s="8"/>
      <c r="Q55" s="8"/>
      <c r="R55" s="8"/>
      <c r="S55" s="8"/>
      <c r="T55" s="8"/>
      <c r="U55" s="8"/>
      <c r="V55" s="8"/>
      <c r="W55" s="8"/>
      <c r="X55" s="8"/>
      <c r="Y55" s="8"/>
    </row>
    <row r="56" spans="1:25" x14ac:dyDescent="0.3">
      <c r="A56" s="8"/>
      <c r="B56" s="8"/>
      <c r="C56" s="8"/>
      <c r="D56" s="8"/>
      <c r="E56" s="8"/>
      <c r="F56" s="8"/>
      <c r="G56" s="8"/>
      <c r="H56" s="8"/>
      <c r="I56" s="8"/>
      <c r="J56" s="8"/>
      <c r="K56" s="8"/>
      <c r="L56" s="8"/>
      <c r="M56" s="8"/>
      <c r="N56" s="8"/>
      <c r="O56" s="8"/>
      <c r="P56" s="8"/>
      <c r="Q56" s="8"/>
      <c r="R56" s="8"/>
      <c r="S56" s="8"/>
      <c r="T56" s="8"/>
      <c r="U56" s="8"/>
      <c r="V56" s="8"/>
      <c r="W56" s="8"/>
      <c r="X56" s="8"/>
      <c r="Y56" s="8"/>
    </row>
    <row r="57" spans="1:25" x14ac:dyDescent="0.3">
      <c r="A57" s="8"/>
      <c r="B57" s="8"/>
      <c r="C57" s="8"/>
      <c r="D57" s="8"/>
      <c r="E57" s="8"/>
      <c r="F57" s="8"/>
      <c r="G57" s="8"/>
      <c r="H57" s="8"/>
      <c r="I57" s="8"/>
      <c r="J57" s="8"/>
      <c r="K57" s="8"/>
      <c r="L57" s="8"/>
      <c r="M57" s="8"/>
      <c r="N57" s="8"/>
      <c r="O57" s="8"/>
      <c r="P57" s="8"/>
      <c r="Q57" s="8"/>
      <c r="R57" s="8"/>
      <c r="S57" s="8"/>
      <c r="T57" s="8"/>
      <c r="U57" s="8"/>
      <c r="V57" s="8"/>
      <c r="W57" s="8"/>
      <c r="X57" s="8"/>
      <c r="Y57" s="8"/>
    </row>
    <row r="58" spans="1:25" x14ac:dyDescent="0.3">
      <c r="A58" s="8"/>
      <c r="B58" s="8"/>
      <c r="C58" s="8"/>
      <c r="D58" s="8"/>
      <c r="E58" s="8"/>
      <c r="F58" s="8"/>
      <c r="G58" s="8"/>
      <c r="H58" s="8"/>
      <c r="I58" s="8"/>
      <c r="J58" s="8"/>
      <c r="K58" s="8"/>
      <c r="L58" s="8"/>
      <c r="M58" s="8"/>
      <c r="N58" s="8"/>
      <c r="O58" s="8"/>
      <c r="P58" s="8"/>
      <c r="Q58" s="8"/>
      <c r="R58" s="8"/>
      <c r="S58" s="8"/>
      <c r="T58" s="8"/>
      <c r="U58" s="8"/>
      <c r="V58" s="8"/>
      <c r="W58" s="8"/>
      <c r="X58" s="8"/>
      <c r="Y58" s="8"/>
    </row>
  </sheetData>
  <mergeCells count="2">
    <mergeCell ref="A31:W33"/>
    <mergeCell ref="A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Hospital_management_data_for_pr</vt:lpstr>
      <vt:lpstr>Appointment_status</vt:lpstr>
      <vt:lpstr>Revenue by specialisation</vt:lpstr>
      <vt:lpstr>Doctor Workload</vt:lpstr>
      <vt:lpstr>Monthly appointments</vt:lpstr>
      <vt:lpstr>Payment Status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Singh</cp:lastModifiedBy>
  <cp:lastPrinted>2026-03-31T16:31:20Z</cp:lastPrinted>
  <dcterms:created xsi:type="dcterms:W3CDTF">2026-03-23T15:33:30Z</dcterms:created>
  <dcterms:modified xsi:type="dcterms:W3CDTF">2026-03-31T16:41:49Z</dcterms:modified>
</cp:coreProperties>
</file>